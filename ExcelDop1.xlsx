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31AFBDC-30A0-47EF-9459-99980B1FF06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definedNames>
    <definedName name="_xlnm._FilterDatabase" localSheetId="0" hidden="1">Лист1!$A$3:$B$50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5" i="1" l="1"/>
  <c r="H50" i="1"/>
  <c r="E50" i="1"/>
  <c r="H52" i="1"/>
  <c r="I24" i="1"/>
  <c r="I23" i="1"/>
</calcChain>
</file>

<file path=xl/sharedStrings.xml><?xml version="1.0" encoding="utf-8"?>
<sst xmlns="http://schemas.openxmlformats.org/spreadsheetml/2006/main" count="95" uniqueCount="42">
  <si>
    <t>Price</t>
  </si>
  <si>
    <t>y</t>
  </si>
  <si>
    <t>ppi</t>
  </si>
  <si>
    <t>x1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</si>
  <si>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</si>
  <si>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</si>
  <si>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</si>
  <si>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</si>
  <si>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</si>
  <si>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</si>
  <si>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</si>
  <si>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</si>
  <si>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</si>
  <si>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</si>
  <si>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</si>
  <si>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</si>
  <si>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</si>
  <si>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</si>
  <si>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</si>
  <si>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</si>
  <si>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</si>
  <si>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</si>
  <si>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</si>
  <si>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</si>
  <si>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</si>
  <si>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</si>
  <si>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</si>
  <si>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</si>
  <si>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ВЫВОД ОСТАТКА</t>
  </si>
  <si>
    <t>Наблюдение</t>
  </si>
  <si>
    <t>Предсказанное y</t>
  </si>
  <si>
    <t>Остатки</t>
  </si>
  <si>
    <t>Переменная X 1</t>
  </si>
  <si>
    <r>
      <t>Fкр</t>
    </r>
    <r>
      <rPr>
        <vertAlign val="subscript"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=</t>
    </r>
  </si>
  <si>
    <t xml:space="preserve">Fрасч = </t>
  </si>
  <si>
    <t>y^=-89170,2 + 1036,04x</t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</si>
  <si>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>кр =</t>
    </r>
  </si>
  <si>
    <t>S=</t>
  </si>
  <si>
    <t xml:space="preserve">Yпр = </t>
  </si>
  <si>
    <r>
      <t>delta</t>
    </r>
    <r>
      <rPr>
        <vertAlign val="subscript"/>
        <sz val="11"/>
        <color theme="1"/>
        <rFont val="Calibri"/>
        <family val="2"/>
        <charset val="204"/>
        <scheme val="minor"/>
      </rPr>
      <t xml:space="preserve">y </t>
    </r>
    <r>
      <rPr>
        <sz val="11"/>
        <color theme="1"/>
        <rFont val="Calibri"/>
        <family val="2"/>
        <charset val="204"/>
        <scheme val="minor"/>
      </rPr>
      <t>=</t>
    </r>
    <r>
      <rPr>
        <vertAlign val="subscript"/>
        <sz val="11"/>
        <color theme="1"/>
        <rFont val="Calibri"/>
        <family val="2"/>
        <charset val="204"/>
        <scheme val="minor"/>
      </rPr>
      <t xml:space="preserve"> </t>
    </r>
  </si>
  <si>
    <r>
      <t>gamma</t>
    </r>
    <r>
      <rPr>
        <vertAlign val="subscript"/>
        <sz val="11"/>
        <color theme="1"/>
        <rFont val="Calibri"/>
        <family val="2"/>
        <charset val="204"/>
        <scheme val="minor"/>
      </rPr>
      <t>y</t>
    </r>
    <r>
      <rPr>
        <sz val="11"/>
        <color theme="1"/>
        <rFont val="Calibri"/>
        <family val="2"/>
        <scheme val="minor"/>
      </rPr>
      <t xml:space="preserve"> =</t>
    </r>
  </si>
  <si>
    <t>154299,2 +- 61872,68764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</si>
</sst>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3" fillId="0" borderId="0" xfId="0" applyFont="1" applyFill="1" applyBorder="1" applyAlignment="1">
      <alignment horizontal="centerContinuous"/>
    </xf>
    <xf numFmtId="0" fontId="3" fillId="0" borderId="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 </a:t>
            </a:r>
            <a:r>
              <a:rPr lang="ru-RU"/>
              <a:t>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Лист1!$B$3:$B$50</c:f>
              <c:numCache>
                <c:formatCode>General</c:formatCode>
                <c:ptCount val="48"/>
                <c:pt idx="0">
                  <c:v>136.83000000000001</c:v>
                </c:pt>
                <c:pt idx="1">
                  <c:v>136.83000000000001</c:v>
                </c:pt>
                <c:pt idx="2">
                  <c:v>136.83000000000001</c:v>
                </c:pt>
                <c:pt idx="3">
                  <c:v>136.83000000000001</c:v>
                </c:pt>
                <c:pt idx="4">
                  <c:v>141.21</c:v>
                </c:pt>
                <c:pt idx="5">
                  <c:v>141.21</c:v>
                </c:pt>
                <c:pt idx="6">
                  <c:v>141.21</c:v>
                </c:pt>
                <c:pt idx="7">
                  <c:v>141.21</c:v>
                </c:pt>
                <c:pt idx="8">
                  <c:v>141.21</c:v>
                </c:pt>
                <c:pt idx="9">
                  <c:v>141.21</c:v>
                </c:pt>
                <c:pt idx="10">
                  <c:v>141.21</c:v>
                </c:pt>
                <c:pt idx="11">
                  <c:v>141.21</c:v>
                </c:pt>
                <c:pt idx="12">
                  <c:v>141.21</c:v>
                </c:pt>
                <c:pt idx="13">
                  <c:v>141.21</c:v>
                </c:pt>
                <c:pt idx="14">
                  <c:v>141.21</c:v>
                </c:pt>
                <c:pt idx="15">
                  <c:v>141.21</c:v>
                </c:pt>
                <c:pt idx="16">
                  <c:v>141.21</c:v>
                </c:pt>
                <c:pt idx="17">
                  <c:v>141.21</c:v>
                </c:pt>
                <c:pt idx="18">
                  <c:v>141.21</c:v>
                </c:pt>
                <c:pt idx="19">
                  <c:v>141.21</c:v>
                </c:pt>
                <c:pt idx="20">
                  <c:v>141.21</c:v>
                </c:pt>
                <c:pt idx="21">
                  <c:v>141.21</c:v>
                </c:pt>
                <c:pt idx="22">
                  <c:v>141.21</c:v>
                </c:pt>
                <c:pt idx="23">
                  <c:v>141.21</c:v>
                </c:pt>
                <c:pt idx="24">
                  <c:v>141.21</c:v>
                </c:pt>
                <c:pt idx="25">
                  <c:v>141.21</c:v>
                </c:pt>
                <c:pt idx="26">
                  <c:v>141.21</c:v>
                </c:pt>
                <c:pt idx="27">
                  <c:v>141.21</c:v>
                </c:pt>
                <c:pt idx="28">
                  <c:v>141.21</c:v>
                </c:pt>
                <c:pt idx="29">
                  <c:v>141.21</c:v>
                </c:pt>
                <c:pt idx="30">
                  <c:v>141.51</c:v>
                </c:pt>
                <c:pt idx="31">
                  <c:v>141.51</c:v>
                </c:pt>
                <c:pt idx="32">
                  <c:v>141.51</c:v>
                </c:pt>
                <c:pt idx="33">
                  <c:v>141.51</c:v>
                </c:pt>
                <c:pt idx="34">
                  <c:v>146.86000000000001</c:v>
                </c:pt>
                <c:pt idx="35">
                  <c:v>157.35</c:v>
                </c:pt>
                <c:pt idx="36">
                  <c:v>157.35</c:v>
                </c:pt>
                <c:pt idx="37">
                  <c:v>161.72999999999999</c:v>
                </c:pt>
                <c:pt idx="38">
                  <c:v>165.63</c:v>
                </c:pt>
                <c:pt idx="39">
                  <c:v>165.63</c:v>
                </c:pt>
                <c:pt idx="40">
                  <c:v>168.97</c:v>
                </c:pt>
                <c:pt idx="41">
                  <c:v>168.97</c:v>
                </c:pt>
                <c:pt idx="42">
                  <c:v>187.51</c:v>
                </c:pt>
                <c:pt idx="43">
                  <c:v>188.68</c:v>
                </c:pt>
                <c:pt idx="44">
                  <c:v>212.26</c:v>
                </c:pt>
                <c:pt idx="45">
                  <c:v>224.51</c:v>
                </c:pt>
                <c:pt idx="46">
                  <c:v>224.51</c:v>
                </c:pt>
                <c:pt idx="47">
                  <c:v>226.98</c:v>
                </c:pt>
              </c:numCache>
            </c:numRef>
          </c:xVal>
          <c:yVal>
            <c:numRef>
              <c:f>Лист1!$C$78:$C$125</c:f>
              <c:numCache>
                <c:formatCode>General</c:formatCode>
                <c:ptCount val="48"/>
                <c:pt idx="0">
                  <c:v>29399.264262215627</c:v>
                </c:pt>
                <c:pt idx="1">
                  <c:v>-7600.7357377843728</c:v>
                </c:pt>
                <c:pt idx="2">
                  <c:v>9399.2642622156272</c:v>
                </c:pt>
                <c:pt idx="3">
                  <c:v>86399.264262215627</c:v>
                </c:pt>
                <c:pt idx="4">
                  <c:v>-6729.5773990519374</c:v>
                </c:pt>
                <c:pt idx="5">
                  <c:v>-30438.577399051937</c:v>
                </c:pt>
                <c:pt idx="6">
                  <c:v>-20116.577399051937</c:v>
                </c:pt>
                <c:pt idx="7">
                  <c:v>-33138.577399051937</c:v>
                </c:pt>
                <c:pt idx="8">
                  <c:v>-14138.577399051937</c:v>
                </c:pt>
                <c:pt idx="9">
                  <c:v>-23348.577399051937</c:v>
                </c:pt>
                <c:pt idx="10">
                  <c:v>-2138.5773990519374</c:v>
                </c:pt>
                <c:pt idx="11">
                  <c:v>-1148.5773990519374</c:v>
                </c:pt>
                <c:pt idx="12">
                  <c:v>-32138.577399051937</c:v>
                </c:pt>
                <c:pt idx="13">
                  <c:v>-30389.577399051937</c:v>
                </c:pt>
                <c:pt idx="14">
                  <c:v>-24138.577399051937</c:v>
                </c:pt>
                <c:pt idx="15">
                  <c:v>22770.422600948063</c:v>
                </c:pt>
                <c:pt idx="16">
                  <c:v>2861.4226009480626</c:v>
                </c:pt>
                <c:pt idx="17">
                  <c:v>-20188.577399051937</c:v>
                </c:pt>
                <c:pt idx="18">
                  <c:v>-3238.5773990519374</c:v>
                </c:pt>
                <c:pt idx="19">
                  <c:v>-23628.577399051937</c:v>
                </c:pt>
                <c:pt idx="20">
                  <c:v>18861.422600948063</c:v>
                </c:pt>
                <c:pt idx="21">
                  <c:v>-17328.577399051937</c:v>
                </c:pt>
                <c:pt idx="22">
                  <c:v>-12138.577399051937</c:v>
                </c:pt>
                <c:pt idx="23">
                  <c:v>24861.422600948063</c:v>
                </c:pt>
                <c:pt idx="24">
                  <c:v>45370.422600948063</c:v>
                </c:pt>
                <c:pt idx="25">
                  <c:v>-29138.577399051937</c:v>
                </c:pt>
                <c:pt idx="26">
                  <c:v>37861.422600948063</c:v>
                </c:pt>
                <c:pt idx="27">
                  <c:v>4861.4226009480626</c:v>
                </c:pt>
                <c:pt idx="28">
                  <c:v>42861.422600948063</c:v>
                </c:pt>
                <c:pt idx="29">
                  <c:v>-24138.577399051937</c:v>
                </c:pt>
                <c:pt idx="30">
                  <c:v>-10549.388471741477</c:v>
                </c:pt>
                <c:pt idx="31">
                  <c:v>55050.611528258523</c:v>
                </c:pt>
                <c:pt idx="32">
                  <c:v>-21640.388471741477</c:v>
                </c:pt>
                <c:pt idx="33">
                  <c:v>760.61152825852332</c:v>
                </c:pt>
                <c:pt idx="34">
                  <c:v>5007.8140652946749</c:v>
                </c:pt>
                <c:pt idx="35">
                  <c:v>148.78689024977211</c:v>
                </c:pt>
                <c:pt idx="36">
                  <c:v>-3860.2131097502279</c:v>
                </c:pt>
                <c:pt idx="37">
                  <c:v>-2398.0547710177925</c:v>
                </c:pt>
                <c:pt idx="38">
                  <c:v>-2438.5987159820943</c:v>
                </c:pt>
                <c:pt idx="39">
                  <c:v>2561.4012840179057</c:v>
                </c:pt>
                <c:pt idx="40">
                  <c:v>8101.0380080741452</c:v>
                </c:pt>
                <c:pt idx="41">
                  <c:v>14011.038008074145</c:v>
                </c:pt>
                <c:pt idx="42">
                  <c:v>-8098.0862841406342</c:v>
                </c:pt>
                <c:pt idx="43">
                  <c:v>-6319.2494676299248</c:v>
                </c:pt>
                <c:pt idx="44">
                  <c:v>-35748.999781029284</c:v>
                </c:pt>
                <c:pt idx="45">
                  <c:v>-40440.451915852958</c:v>
                </c:pt>
                <c:pt idx="46">
                  <c:v>-28530.451915852958</c:v>
                </c:pt>
                <c:pt idx="47">
                  <c:v>104140.536919003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33-4C36-8F6F-A6BC048AF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163568"/>
        <c:axId val="1803163984"/>
      </c:scatterChart>
      <c:valAx>
        <c:axId val="1803163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03163984"/>
        <c:crosses val="autoZero"/>
        <c:crossBetween val="midCat"/>
      </c:valAx>
      <c:valAx>
        <c:axId val="18031639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0316356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1028700</xdr:colOff>
      <xdr:row>72</xdr:row>
      <xdr:rowOff>137160</xdr:rowOff>
    </xdr:from>
    <xdr:to>
      <xdr:col>6</xdr:col>
      <xdr:colOff>45720</xdr:colOff>
      <xdr:row>82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FCBF159-F21B-496F-A0CC-EB7A9F3AD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5"/>
  <sheetViews>
    <sheetView tabSelected="1" topLeftCell="A24" workbookViewId="0">
      <selection sqref="A1:B50"/>
    </sheetView>
  </sheetViews>
  <sheetFormatPr defaultRowHeight="14.4" x14ac:dyDescent="0.3"/>
  <cols>
    <col min="1" max="9" width="22.5546875" customWidth="1"/>
  </cols>
  <sheetData>
    <row r="1" spans="1:20" x14ac:dyDescent="0.3">
      <c r="A1" t="s">
        <v>0</v>
      </c>
      <c r="B1" t="s">
        <v>2</v>
      </c>
    </row>
    <row r="2" spans="1:20" x14ac:dyDescent="0.3">
      <c r="A2" t="s">
        <v>1</v>
      </c>
      <c r="B2" s="1" t="s">
        <v>3</v>
      </c>
    </row>
    <row r="3" spans="1:20" x14ac:dyDescent="0.3">
      <c r="A3" s="6">
        <v>81990</v>
      </c>
      <c r="B3" s="7">
        <v>136.83000000000001</v>
      </c>
      <c r="D3" t="s">
        <v>4</v>
      </c>
      <c r="M3" s="12"/>
      <c r="N3" s="12"/>
      <c r="O3" t="s">
        <v>4</v>
      </c>
    </row>
    <row r="4" spans="1:20" ht="15" thickBot="1" x14ac:dyDescent="0.35">
      <c r="A4" s="8">
        <v>44990</v>
      </c>
      <c r="B4" s="9">
        <v>136.83000000000001</v>
      </c>
      <c r="M4" s="12"/>
      <c r="N4" s="12"/>
    </row>
    <row r="5" spans="1:20" x14ac:dyDescent="0.3">
      <c r="A5" s="8">
        <v>61990</v>
      </c>
      <c r="B5" s="9">
        <v>136.83000000000001</v>
      </c>
      <c r="D5" s="5" t="s">
        <v>5</v>
      </c>
      <c r="E5" s="5"/>
      <c r="M5" s="13"/>
      <c r="N5" s="13"/>
      <c r="O5" s="5" t="s">
        <v>5</v>
      </c>
      <c r="P5" s="5"/>
    </row>
    <row r="6" spans="1:20" x14ac:dyDescent="0.3">
      <c r="A6" s="8">
        <v>138990</v>
      </c>
      <c r="B6" s="9">
        <v>136.83000000000001</v>
      </c>
      <c r="D6" s="2" t="s">
        <v>6</v>
      </c>
      <c r="E6" s="2">
        <v>0.61985524104991319</v>
      </c>
      <c r="M6" s="2"/>
      <c r="N6" s="2"/>
      <c r="O6" s="2" t="s">
        <v>6</v>
      </c>
      <c r="P6" s="2">
        <v>0.71976387102106687</v>
      </c>
    </row>
    <row r="7" spans="1:20" x14ac:dyDescent="0.3">
      <c r="A7" s="8">
        <v>50399</v>
      </c>
      <c r="B7" s="9">
        <v>141.21</v>
      </c>
      <c r="D7" s="2" t="s">
        <v>7</v>
      </c>
      <c r="E7" s="2">
        <v>0.38422051985704592</v>
      </c>
      <c r="M7" s="2"/>
      <c r="N7" s="2"/>
      <c r="O7" s="2" t="s">
        <v>7</v>
      </c>
      <c r="P7" s="2">
        <v>0.518060030027231</v>
      </c>
    </row>
    <row r="8" spans="1:20" x14ac:dyDescent="0.3">
      <c r="A8" s="8">
        <v>26690</v>
      </c>
      <c r="B8" s="9">
        <v>141.21</v>
      </c>
      <c r="D8" s="2" t="s">
        <v>8</v>
      </c>
      <c r="E8" s="2">
        <v>0.34023627127540629</v>
      </c>
      <c r="M8" s="2"/>
      <c r="N8" s="2"/>
      <c r="O8" s="2" t="s">
        <v>8</v>
      </c>
      <c r="P8" s="2">
        <v>0.48363574645774754</v>
      </c>
    </row>
    <row r="9" spans="1:20" x14ac:dyDescent="0.3">
      <c r="A9" s="8">
        <v>37012</v>
      </c>
      <c r="B9" s="9">
        <v>141.21</v>
      </c>
      <c r="D9" s="2" t="s">
        <v>9</v>
      </c>
      <c r="E9" s="2">
        <v>24097.063544059234</v>
      </c>
      <c r="M9" s="2"/>
      <c r="N9" s="2"/>
      <c r="O9" s="2" t="s">
        <v>9</v>
      </c>
      <c r="P9" s="2">
        <v>33137.129328872732</v>
      </c>
    </row>
    <row r="10" spans="1:20" ht="15" thickBot="1" x14ac:dyDescent="0.35">
      <c r="A10" s="8">
        <v>23990</v>
      </c>
      <c r="B10" s="9">
        <v>141.21</v>
      </c>
      <c r="D10" s="3" t="s">
        <v>10</v>
      </c>
      <c r="E10" s="3">
        <v>16</v>
      </c>
      <c r="M10" s="2"/>
      <c r="N10" s="2"/>
      <c r="O10" s="3" t="s">
        <v>10</v>
      </c>
      <c r="P10" s="3">
        <v>16</v>
      </c>
    </row>
    <row r="11" spans="1:20" x14ac:dyDescent="0.3">
      <c r="A11" s="8">
        <v>42990</v>
      </c>
      <c r="B11" s="9">
        <v>141.21</v>
      </c>
      <c r="M11" s="12"/>
      <c r="N11" s="12"/>
    </row>
    <row r="12" spans="1:20" ht="15" thickBot="1" x14ac:dyDescent="0.35">
      <c r="A12" s="8">
        <v>33780</v>
      </c>
      <c r="B12" s="9">
        <v>141.21</v>
      </c>
      <c r="D12" t="s">
        <v>11</v>
      </c>
      <c r="M12" s="12"/>
      <c r="N12" s="12"/>
      <c r="O12" t="s">
        <v>11</v>
      </c>
    </row>
    <row r="13" spans="1:20" x14ac:dyDescent="0.3">
      <c r="A13" s="8">
        <v>54990</v>
      </c>
      <c r="B13" s="9">
        <v>141.21</v>
      </c>
      <c r="D13" s="4"/>
      <c r="E13" s="4" t="s">
        <v>16</v>
      </c>
      <c r="F13" s="4" t="s">
        <v>17</v>
      </c>
      <c r="G13" s="4" t="s">
        <v>18</v>
      </c>
      <c r="H13" s="4" t="s">
        <v>19</v>
      </c>
      <c r="I13" s="4" t="s">
        <v>20</v>
      </c>
      <c r="M13" s="14"/>
      <c r="N13" s="14"/>
      <c r="O13" s="4"/>
      <c r="P13" s="4" t="s">
        <v>16</v>
      </c>
      <c r="Q13" s="4" t="s">
        <v>17</v>
      </c>
      <c r="R13" s="4" t="s">
        <v>18</v>
      </c>
      <c r="S13" s="4" t="s">
        <v>19</v>
      </c>
      <c r="T13" s="4" t="s">
        <v>20</v>
      </c>
    </row>
    <row r="14" spans="1:20" x14ac:dyDescent="0.3">
      <c r="A14" s="8">
        <v>55980</v>
      </c>
      <c r="B14" s="9">
        <v>141.21</v>
      </c>
      <c r="D14" s="2" t="s">
        <v>12</v>
      </c>
      <c r="E14" s="2">
        <v>1</v>
      </c>
      <c r="F14" s="2">
        <v>5072378161.6875</v>
      </c>
      <c r="G14" s="2">
        <v>5072378161.6875</v>
      </c>
      <c r="H14" s="2">
        <v>8.735411704121546</v>
      </c>
      <c r="I14" s="2">
        <v>1.0430192287684922E-2</v>
      </c>
      <c r="M14" s="2"/>
      <c r="N14" s="2"/>
      <c r="O14" s="2" t="s">
        <v>12</v>
      </c>
      <c r="P14" s="2">
        <v>1</v>
      </c>
      <c r="Q14" s="2">
        <v>16525132155.219378</v>
      </c>
      <c r="R14" s="2">
        <v>16525132155.219378</v>
      </c>
      <c r="S14" s="2">
        <v>15.049261053801041</v>
      </c>
      <c r="T14" s="2">
        <v>1.6682605240041174E-3</v>
      </c>
    </row>
    <row r="15" spans="1:20" x14ac:dyDescent="0.3">
      <c r="A15" s="8">
        <v>24990</v>
      </c>
      <c r="B15" s="9">
        <v>141.21</v>
      </c>
      <c r="D15" s="2" t="s">
        <v>13</v>
      </c>
      <c r="E15" s="2">
        <v>14</v>
      </c>
      <c r="F15" s="2">
        <v>8129358600.25</v>
      </c>
      <c r="G15" s="2">
        <v>580668471.44642854</v>
      </c>
      <c r="H15" s="2"/>
      <c r="I15" s="2"/>
      <c r="M15" s="2"/>
      <c r="N15" s="2"/>
      <c r="O15" s="2" t="s">
        <v>13</v>
      </c>
      <c r="P15" s="2">
        <v>14</v>
      </c>
      <c r="Q15" s="2">
        <v>15372970762.218122</v>
      </c>
      <c r="R15" s="2">
        <v>1098069340.1584373</v>
      </c>
      <c r="S15" s="2"/>
      <c r="T15" s="2"/>
    </row>
    <row r="16" spans="1:20" ht="15" thickBot="1" x14ac:dyDescent="0.35">
      <c r="A16" s="8">
        <v>26739</v>
      </c>
      <c r="B16" s="9">
        <v>141.21</v>
      </c>
      <c r="D16" s="3" t="s">
        <v>14</v>
      </c>
      <c r="E16" s="3">
        <v>15</v>
      </c>
      <c r="F16" s="3">
        <v>13201736761.9375</v>
      </c>
      <c r="G16" s="3"/>
      <c r="H16" s="3"/>
      <c r="I16" s="3"/>
      <c r="M16" s="2"/>
      <c r="N16" s="2"/>
      <c r="O16" s="3" t="s">
        <v>14</v>
      </c>
      <c r="P16" s="3">
        <v>15</v>
      </c>
      <c r="Q16" s="3">
        <v>31898102917.4375</v>
      </c>
      <c r="R16" s="3"/>
      <c r="S16" s="3"/>
      <c r="T16" s="3"/>
    </row>
    <row r="17" spans="1:23" ht="15" thickBot="1" x14ac:dyDescent="0.35">
      <c r="A17" s="8">
        <v>32990</v>
      </c>
      <c r="B17" s="9">
        <v>141.21</v>
      </c>
    </row>
    <row r="18" spans="1:23" x14ac:dyDescent="0.3">
      <c r="A18" s="10">
        <v>79899</v>
      </c>
      <c r="B18" s="11">
        <v>141.21</v>
      </c>
      <c r="D18" s="4"/>
      <c r="E18" s="4" t="s">
        <v>21</v>
      </c>
      <c r="F18" s="4" t="s">
        <v>9</v>
      </c>
      <c r="G18" s="4" t="s">
        <v>22</v>
      </c>
      <c r="H18" s="4" t="s">
        <v>23</v>
      </c>
      <c r="I18" s="4" t="s">
        <v>24</v>
      </c>
      <c r="J18" s="4" t="s">
        <v>25</v>
      </c>
      <c r="K18" s="4" t="s">
        <v>26</v>
      </c>
      <c r="L18" s="4" t="s">
        <v>27</v>
      </c>
      <c r="M18" s="12"/>
      <c r="N18" s="12"/>
      <c r="O18" s="4"/>
      <c r="P18" s="4" t="s">
        <v>21</v>
      </c>
      <c r="Q18" s="4" t="s">
        <v>9</v>
      </c>
      <c r="R18" s="4" t="s">
        <v>22</v>
      </c>
      <c r="S18" s="4" t="s">
        <v>23</v>
      </c>
      <c r="T18" s="4" t="s">
        <v>24</v>
      </c>
      <c r="U18" s="4" t="s">
        <v>25</v>
      </c>
      <c r="V18" s="4" t="s">
        <v>26</v>
      </c>
      <c r="W18" s="4" t="s">
        <v>27</v>
      </c>
    </row>
    <row r="19" spans="1:23" x14ac:dyDescent="0.3">
      <c r="A19" s="6">
        <v>59990</v>
      </c>
      <c r="B19" s="7">
        <v>141.21</v>
      </c>
      <c r="D19" s="2" t="s">
        <v>15</v>
      </c>
      <c r="E19" s="2">
        <v>1366544.1044520559</v>
      </c>
      <c r="F19" s="2">
        <v>445096.1102150993</v>
      </c>
      <c r="G19" s="2">
        <v>3.0702225274259378</v>
      </c>
      <c r="H19" s="2">
        <v>8.3094911528368287E-3</v>
      </c>
      <c r="I19" s="2">
        <v>411907.89241871506</v>
      </c>
      <c r="J19" s="2">
        <v>2321180.3164853966</v>
      </c>
      <c r="K19" s="2">
        <v>411907.89241871506</v>
      </c>
      <c r="L19" s="2">
        <v>2321180.3164853966</v>
      </c>
      <c r="M19" s="12"/>
      <c r="N19" s="12"/>
      <c r="O19" s="2" t="s">
        <v>15</v>
      </c>
      <c r="P19" s="2">
        <v>-103907.63103348931</v>
      </c>
      <c r="Q19" s="2">
        <v>51633.781080373126</v>
      </c>
      <c r="R19" s="2">
        <v>-2.0123963199934307</v>
      </c>
      <c r="S19" s="2">
        <v>6.3827737731282738E-2</v>
      </c>
      <c r="T19" s="2">
        <v>-214651.07734153577</v>
      </c>
      <c r="U19" s="2">
        <v>6835.815274557157</v>
      </c>
      <c r="V19" s="2">
        <v>-214651.07734153577</v>
      </c>
      <c r="W19" s="2">
        <v>6835.815274557157</v>
      </c>
    </row>
    <row r="20" spans="1:23" ht="15" thickBot="1" x14ac:dyDescent="0.35">
      <c r="A20" s="8">
        <v>36940</v>
      </c>
      <c r="B20" s="9">
        <v>141.21</v>
      </c>
      <c r="D20" s="3" t="s">
        <v>32</v>
      </c>
      <c r="E20" s="3">
        <v>-9387.9566210045741</v>
      </c>
      <c r="F20" s="3">
        <v>3176.3575625210342</v>
      </c>
      <c r="G20" s="3">
        <v>-2.9555729908296198</v>
      </c>
      <c r="H20" s="3">
        <v>1.0430192287684922E-2</v>
      </c>
      <c r="I20" s="3">
        <v>-16200.566037166733</v>
      </c>
      <c r="J20" s="3">
        <v>-2575.3472048424146</v>
      </c>
      <c r="K20" s="3">
        <v>-16200.566037166733</v>
      </c>
      <c r="L20" s="3">
        <v>-2575.3472048424146</v>
      </c>
      <c r="M20" s="12"/>
      <c r="N20" s="12"/>
      <c r="O20" s="3" t="s">
        <v>32</v>
      </c>
      <c r="P20" s="3">
        <v>1113.8745251819844</v>
      </c>
      <c r="Q20" s="3">
        <v>287.13007450848954</v>
      </c>
      <c r="R20" s="3">
        <v>3.8793377081405334</v>
      </c>
      <c r="S20" s="3">
        <v>1.6682605240041146E-3</v>
      </c>
      <c r="T20" s="3">
        <v>498.04176367532875</v>
      </c>
      <c r="U20" s="3">
        <v>1729.7072866886401</v>
      </c>
      <c r="V20" s="3">
        <v>498.04176367532875</v>
      </c>
      <c r="W20" s="3">
        <v>1729.7072866886401</v>
      </c>
    </row>
    <row r="21" spans="1:23" x14ac:dyDescent="0.3">
      <c r="A21" s="8">
        <v>53890</v>
      </c>
      <c r="B21" s="9">
        <v>141.21</v>
      </c>
    </row>
    <row r="22" spans="1:23" x14ac:dyDescent="0.3">
      <c r="A22" s="8">
        <v>33500</v>
      </c>
      <c r="B22" s="9">
        <v>141.21</v>
      </c>
    </row>
    <row r="23" spans="1:23" ht="15.6" x14ac:dyDescent="0.35">
      <c r="A23" s="8">
        <v>75990</v>
      </c>
      <c r="B23" s="9">
        <v>141.21</v>
      </c>
      <c r="H23" t="s">
        <v>33</v>
      </c>
      <c r="I23">
        <f>_xlfn.F.INV.RT(0.05,14,14)</f>
        <v>2.4837257411282234</v>
      </c>
    </row>
    <row r="24" spans="1:23" x14ac:dyDescent="0.3">
      <c r="A24" s="8">
        <v>39800</v>
      </c>
      <c r="B24" s="9">
        <v>141.21</v>
      </c>
      <c r="H24" t="s">
        <v>34</v>
      </c>
      <c r="I24">
        <f>Q15/F15</f>
        <v>1.8910435027119312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x14ac:dyDescent="0.3">
      <c r="A25" s="8">
        <v>44990</v>
      </c>
      <c r="B25" s="9">
        <v>141.21</v>
      </c>
    </row>
    <row r="26" spans="1:23" x14ac:dyDescent="0.3">
      <c r="A26" s="8">
        <v>81990</v>
      </c>
      <c r="B26" s="9">
        <v>141.21</v>
      </c>
    </row>
    <row r="27" spans="1:23" x14ac:dyDescent="0.3">
      <c r="A27" s="8">
        <v>102499</v>
      </c>
      <c r="B27" s="9">
        <v>141.21</v>
      </c>
    </row>
    <row r="28" spans="1:23" x14ac:dyDescent="0.3">
      <c r="A28" s="8">
        <v>27990</v>
      </c>
      <c r="B28" s="9">
        <v>141.21</v>
      </c>
    </row>
    <row r="29" spans="1:23" x14ac:dyDescent="0.3">
      <c r="A29" s="8">
        <v>94990</v>
      </c>
      <c r="B29" s="9">
        <v>141.21</v>
      </c>
    </row>
    <row r="30" spans="1:23" x14ac:dyDescent="0.3">
      <c r="A30" s="8">
        <v>61990</v>
      </c>
      <c r="B30" s="9">
        <v>141.21</v>
      </c>
    </row>
    <row r="31" spans="1:23" x14ac:dyDescent="0.3">
      <c r="A31" s="8">
        <v>99990</v>
      </c>
      <c r="B31" s="9">
        <v>141.21</v>
      </c>
    </row>
    <row r="32" spans="1:23" x14ac:dyDescent="0.3">
      <c r="A32" s="8">
        <v>32990</v>
      </c>
      <c r="B32" s="9">
        <v>141.21</v>
      </c>
    </row>
    <row r="33" spans="1:2" x14ac:dyDescent="0.3">
      <c r="A33" s="8">
        <v>46890</v>
      </c>
      <c r="B33" s="9">
        <v>141.51</v>
      </c>
    </row>
    <row r="34" spans="1:2" x14ac:dyDescent="0.3">
      <c r="A34" s="10">
        <v>112490</v>
      </c>
      <c r="B34" s="11">
        <v>141.51</v>
      </c>
    </row>
    <row r="35" spans="1:2" x14ac:dyDescent="0.3">
      <c r="A35" s="8">
        <v>35799</v>
      </c>
      <c r="B35" s="7">
        <v>141.51</v>
      </c>
    </row>
    <row r="36" spans="1:2" x14ac:dyDescent="0.3">
      <c r="A36" s="8">
        <v>58200</v>
      </c>
      <c r="B36" s="9">
        <v>141.51</v>
      </c>
    </row>
    <row r="37" spans="1:2" x14ac:dyDescent="0.3">
      <c r="A37" s="8">
        <v>67990</v>
      </c>
      <c r="B37" s="9">
        <v>146.86000000000001</v>
      </c>
    </row>
    <row r="38" spans="1:2" x14ac:dyDescent="0.3">
      <c r="A38" s="8">
        <v>73999</v>
      </c>
      <c r="B38" s="9">
        <v>157.35</v>
      </c>
    </row>
    <row r="39" spans="1:2" x14ac:dyDescent="0.3">
      <c r="A39" s="8">
        <v>69990</v>
      </c>
      <c r="B39" s="9">
        <v>157.35</v>
      </c>
    </row>
    <row r="40" spans="1:2" x14ac:dyDescent="0.3">
      <c r="A40" s="8">
        <v>75990</v>
      </c>
      <c r="B40" s="9">
        <v>161.72999999999999</v>
      </c>
    </row>
    <row r="41" spans="1:2" x14ac:dyDescent="0.3">
      <c r="A41" s="8">
        <v>79990</v>
      </c>
      <c r="B41" s="9">
        <v>165.63</v>
      </c>
    </row>
    <row r="42" spans="1:2" x14ac:dyDescent="0.3">
      <c r="A42" s="12">
        <v>84990</v>
      </c>
      <c r="B42" s="12">
        <v>165.63</v>
      </c>
    </row>
    <row r="43" spans="1:2" x14ac:dyDescent="0.3">
      <c r="A43" s="12">
        <v>93990</v>
      </c>
      <c r="B43" s="9">
        <v>168.97</v>
      </c>
    </row>
    <row r="44" spans="1:2" x14ac:dyDescent="0.3">
      <c r="A44" s="12">
        <v>99900</v>
      </c>
      <c r="B44" s="9">
        <v>168.97</v>
      </c>
    </row>
    <row r="45" spans="1:2" x14ac:dyDescent="0.3">
      <c r="A45" s="8">
        <v>96999</v>
      </c>
      <c r="B45" s="9">
        <v>187.51</v>
      </c>
    </row>
    <row r="46" spans="1:2" x14ac:dyDescent="0.3">
      <c r="A46" s="8">
        <v>99990</v>
      </c>
      <c r="B46" s="9">
        <v>188.68</v>
      </c>
    </row>
    <row r="47" spans="1:2" x14ac:dyDescent="0.3">
      <c r="A47" s="8">
        <v>94990</v>
      </c>
      <c r="B47" s="9">
        <v>212.26</v>
      </c>
    </row>
    <row r="48" spans="1:2" x14ac:dyDescent="0.3">
      <c r="A48" s="8">
        <v>102990</v>
      </c>
      <c r="B48" s="9">
        <v>224.51</v>
      </c>
    </row>
    <row r="49" spans="1:10" x14ac:dyDescent="0.3">
      <c r="A49" s="8">
        <v>114900</v>
      </c>
      <c r="B49" s="9">
        <v>224.51</v>
      </c>
    </row>
    <row r="50" spans="1:10" x14ac:dyDescent="0.3">
      <c r="A50" s="10">
        <v>250130</v>
      </c>
      <c r="B50" s="11">
        <v>226.98</v>
      </c>
      <c r="D50" t="s">
        <v>38</v>
      </c>
      <c r="E50">
        <f>-89170.2 + 1036.04 * 235</f>
        <v>154299.20000000001</v>
      </c>
      <c r="G50" t="s">
        <v>37</v>
      </c>
      <c r="H50">
        <f>B60*SQRT(1+1/48+((235-AVERAGE(B3:B50))^2/(48*VARP(B3:B50)^2)))</f>
        <v>30738.150391696021</v>
      </c>
    </row>
    <row r="52" spans="1:10" ht="15.6" x14ac:dyDescent="0.35">
      <c r="D52" t="s">
        <v>35</v>
      </c>
      <c r="G52" t="s">
        <v>36</v>
      </c>
      <c r="H52">
        <f>_xlfn.T.INV.2T(0.05,48-1-1)</f>
        <v>2.0128955989194299</v>
      </c>
    </row>
    <row r="53" spans="1:10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0" x14ac:dyDescent="0.3">
      <c r="A54" t="s">
        <v>4</v>
      </c>
      <c r="J54" s="12"/>
    </row>
    <row r="55" spans="1:10" ht="16.2" thickBot="1" x14ac:dyDescent="0.4">
      <c r="G55" t="s">
        <v>39</v>
      </c>
      <c r="H55">
        <f>H50*H52</f>
        <v>61872.687642368473</v>
      </c>
      <c r="J55" s="12"/>
    </row>
    <row r="56" spans="1:10" x14ac:dyDescent="0.3">
      <c r="A56" s="5" t="s">
        <v>5</v>
      </c>
      <c r="B56" s="5"/>
      <c r="J56" s="12"/>
    </row>
    <row r="57" spans="1:10" ht="15.6" x14ac:dyDescent="0.35">
      <c r="A57" s="2" t="s">
        <v>6</v>
      </c>
      <c r="B57" s="2">
        <v>0.64230512242507498</v>
      </c>
      <c r="G57" t="s">
        <v>40</v>
      </c>
      <c r="H57" t="s">
        <v>41</v>
      </c>
      <c r="J57" s="12"/>
    </row>
    <row r="58" spans="1:10" x14ac:dyDescent="0.3">
      <c r="A58" s="2" t="s">
        <v>7</v>
      </c>
      <c r="B58" s="2">
        <v>0.4125558702934905</v>
      </c>
      <c r="J58" s="12"/>
    </row>
    <row r="59" spans="1:10" x14ac:dyDescent="0.3">
      <c r="A59" s="2" t="s">
        <v>8</v>
      </c>
      <c r="B59" s="2">
        <v>0.39978534573465335</v>
      </c>
      <c r="J59" s="12"/>
    </row>
    <row r="60" spans="1:10" x14ac:dyDescent="0.3">
      <c r="A60" s="2" t="s">
        <v>9</v>
      </c>
      <c r="B60" s="2">
        <v>30416.670975808047</v>
      </c>
      <c r="J60" s="12"/>
    </row>
    <row r="61" spans="1:10" ht="15" thickBot="1" x14ac:dyDescent="0.35">
      <c r="A61" s="3" t="s">
        <v>10</v>
      </c>
      <c r="B61" s="3">
        <v>48</v>
      </c>
      <c r="J61" s="12"/>
    </row>
    <row r="62" spans="1:10" x14ac:dyDescent="0.3">
      <c r="J62" s="12"/>
    </row>
    <row r="63" spans="1:10" ht="15" thickBot="1" x14ac:dyDescent="0.35">
      <c r="A63" t="s">
        <v>11</v>
      </c>
      <c r="J63" s="12"/>
    </row>
    <row r="64" spans="1:10" x14ac:dyDescent="0.3">
      <c r="A64" s="4"/>
      <c r="B64" s="4" t="s">
        <v>16</v>
      </c>
      <c r="C64" s="4" t="s">
        <v>17</v>
      </c>
      <c r="D64" s="4" t="s">
        <v>18</v>
      </c>
      <c r="E64" s="4" t="s">
        <v>19</v>
      </c>
      <c r="F64" s="4" t="s">
        <v>20</v>
      </c>
      <c r="J64" s="12"/>
    </row>
    <row r="65" spans="1:10" x14ac:dyDescent="0.3">
      <c r="A65" s="2" t="s">
        <v>12</v>
      </c>
      <c r="B65" s="2">
        <v>1</v>
      </c>
      <c r="C65" s="2">
        <v>29888037150.953232</v>
      </c>
      <c r="D65" s="2">
        <v>29888037150.953232</v>
      </c>
      <c r="E65" s="2">
        <v>32.305319048778081</v>
      </c>
      <c r="F65" s="2">
        <v>8.6022846774522347E-7</v>
      </c>
      <c r="J65" s="12"/>
    </row>
    <row r="66" spans="1:10" x14ac:dyDescent="0.3">
      <c r="A66" s="2" t="s">
        <v>13</v>
      </c>
      <c r="B66" s="2">
        <v>46</v>
      </c>
      <c r="C66" s="2">
        <v>42557998169.525925</v>
      </c>
      <c r="D66" s="2">
        <v>925173873.25056362</v>
      </c>
      <c r="E66" s="2"/>
      <c r="F66" s="2"/>
      <c r="J66" s="12"/>
    </row>
    <row r="67" spans="1:10" ht="15" thickBot="1" x14ac:dyDescent="0.35">
      <c r="A67" s="3" t="s">
        <v>14</v>
      </c>
      <c r="B67" s="3">
        <v>47</v>
      </c>
      <c r="C67" s="3">
        <v>72446035320.479156</v>
      </c>
      <c r="D67" s="3"/>
      <c r="E67" s="3"/>
      <c r="F67" s="3"/>
      <c r="J67" s="12"/>
    </row>
    <row r="68" spans="1:10" ht="15" thickBot="1" x14ac:dyDescent="0.35">
      <c r="J68" s="12"/>
    </row>
    <row r="69" spans="1:10" x14ac:dyDescent="0.3">
      <c r="A69" s="4"/>
      <c r="B69" s="4" t="s">
        <v>21</v>
      </c>
      <c r="C69" s="4" t="s">
        <v>9</v>
      </c>
      <c r="D69" s="4" t="s">
        <v>22</v>
      </c>
      <c r="E69" s="4" t="s">
        <v>23</v>
      </c>
      <c r="F69" s="4" t="s">
        <v>24</v>
      </c>
      <c r="G69" s="4" t="s">
        <v>25</v>
      </c>
      <c r="H69" s="4" t="s">
        <v>26</v>
      </c>
      <c r="I69" s="4" t="s">
        <v>27</v>
      </c>
      <c r="J69" s="12"/>
    </row>
    <row r="70" spans="1:10" x14ac:dyDescent="0.3">
      <c r="A70" s="2" t="s">
        <v>15</v>
      </c>
      <c r="B70" s="2">
        <v>-89170.194515923751</v>
      </c>
      <c r="C70" s="2">
        <v>28223.829629957694</v>
      </c>
      <c r="D70" s="2">
        <v>-3.1593938769129899</v>
      </c>
      <c r="E70" s="2">
        <v>2.793520552883089E-3</v>
      </c>
      <c r="F70" s="2">
        <v>-145981.81696271739</v>
      </c>
      <c r="G70" s="2">
        <v>-32358.572069130103</v>
      </c>
      <c r="H70" s="2">
        <v>-145981.81696271739</v>
      </c>
      <c r="I70" s="2">
        <v>-32358.572069130103</v>
      </c>
      <c r="J70" s="12"/>
    </row>
    <row r="71" spans="1:10" ht="15" thickBot="1" x14ac:dyDescent="0.35">
      <c r="A71" s="3" t="s">
        <v>3</v>
      </c>
      <c r="B71" s="3">
        <v>1036.0369089651986</v>
      </c>
      <c r="C71" s="3">
        <v>182.27966016688657</v>
      </c>
      <c r="D71" s="3">
        <v>5.6837768296070585</v>
      </c>
      <c r="E71" s="3">
        <v>8.6022846774522178E-7</v>
      </c>
      <c r="F71" s="3">
        <v>669.12698324274334</v>
      </c>
      <c r="G71" s="3">
        <v>1402.9468346876538</v>
      </c>
      <c r="H71" s="3">
        <v>669.12698324274334</v>
      </c>
      <c r="I71" s="3">
        <v>1402.9468346876538</v>
      </c>
      <c r="J71" s="12"/>
    </row>
    <row r="72" spans="1:10" x14ac:dyDescent="0.3">
      <c r="J72" s="12"/>
    </row>
    <row r="73" spans="1:10" x14ac:dyDescent="0.3">
      <c r="J73" s="12"/>
    </row>
    <row r="74" spans="1:10" x14ac:dyDescent="0.3">
      <c r="J74" s="12"/>
    </row>
    <row r="75" spans="1:10" x14ac:dyDescent="0.3">
      <c r="A75" t="s">
        <v>28</v>
      </c>
      <c r="J75" s="12"/>
    </row>
    <row r="76" spans="1:10" ht="15" thickBot="1" x14ac:dyDescent="0.35">
      <c r="J76" s="12"/>
    </row>
    <row r="77" spans="1:10" x14ac:dyDescent="0.3">
      <c r="A77" s="4" t="s">
        <v>29</v>
      </c>
      <c r="B77" s="4" t="s">
        <v>30</v>
      </c>
      <c r="C77" s="4" t="s">
        <v>31</v>
      </c>
      <c r="J77" s="12"/>
    </row>
    <row r="78" spans="1:10" x14ac:dyDescent="0.3">
      <c r="A78" s="2">
        <v>1</v>
      </c>
      <c r="B78" s="2">
        <v>52590.735737784373</v>
      </c>
      <c r="C78" s="2">
        <v>29399.264262215627</v>
      </c>
      <c r="J78" s="12"/>
    </row>
    <row r="79" spans="1:10" x14ac:dyDescent="0.3">
      <c r="A79" s="2">
        <v>2</v>
      </c>
      <c r="B79" s="2">
        <v>52590.735737784373</v>
      </c>
      <c r="C79" s="2">
        <v>-7600.7357377843728</v>
      </c>
      <c r="J79" s="12"/>
    </row>
    <row r="80" spans="1:10" x14ac:dyDescent="0.3">
      <c r="A80" s="2">
        <v>3</v>
      </c>
      <c r="B80" s="2">
        <v>52590.735737784373</v>
      </c>
      <c r="C80" s="2">
        <v>9399.2642622156272</v>
      </c>
      <c r="J80" s="12"/>
    </row>
    <row r="81" spans="1:10" x14ac:dyDescent="0.3">
      <c r="A81" s="2">
        <v>4</v>
      </c>
      <c r="B81" s="2">
        <v>52590.735737784373</v>
      </c>
      <c r="C81" s="2">
        <v>86399.264262215627</v>
      </c>
      <c r="J81" s="12"/>
    </row>
    <row r="82" spans="1:10" x14ac:dyDescent="0.3">
      <c r="A82" s="2">
        <v>5</v>
      </c>
      <c r="B82" s="2">
        <v>57128.577399051937</v>
      </c>
      <c r="C82" s="2">
        <v>-6729.5773990519374</v>
      </c>
      <c r="J82" s="12"/>
    </row>
    <row r="83" spans="1:10" x14ac:dyDescent="0.3">
      <c r="A83" s="2">
        <v>6</v>
      </c>
      <c r="B83" s="2">
        <v>57128.577399051937</v>
      </c>
      <c r="C83" s="2">
        <v>-30438.577399051937</v>
      </c>
      <c r="J83" s="12"/>
    </row>
    <row r="84" spans="1:10" x14ac:dyDescent="0.3">
      <c r="A84" s="2">
        <v>7</v>
      </c>
      <c r="B84" s="2">
        <v>57128.577399051937</v>
      </c>
      <c r="C84" s="2">
        <v>-20116.577399051937</v>
      </c>
      <c r="J84" s="12"/>
    </row>
    <row r="85" spans="1:10" x14ac:dyDescent="0.3">
      <c r="A85" s="2">
        <v>8</v>
      </c>
      <c r="B85" s="2">
        <v>57128.577399051937</v>
      </c>
      <c r="C85" s="2">
        <v>-33138.577399051937</v>
      </c>
      <c r="J85" s="12"/>
    </row>
    <row r="86" spans="1:10" x14ac:dyDescent="0.3">
      <c r="A86" s="2">
        <v>9</v>
      </c>
      <c r="B86" s="2">
        <v>57128.577399051937</v>
      </c>
      <c r="C86" s="2">
        <v>-14138.577399051937</v>
      </c>
      <c r="J86" s="12"/>
    </row>
    <row r="87" spans="1:10" x14ac:dyDescent="0.3">
      <c r="A87" s="2">
        <v>10</v>
      </c>
      <c r="B87" s="2">
        <v>57128.577399051937</v>
      </c>
      <c r="C87" s="2">
        <v>-23348.577399051937</v>
      </c>
      <c r="J87" s="12"/>
    </row>
    <row r="88" spans="1:10" x14ac:dyDescent="0.3">
      <c r="A88" s="2">
        <v>11</v>
      </c>
      <c r="B88" s="2">
        <v>57128.577399051937</v>
      </c>
      <c r="C88" s="2">
        <v>-2138.5773990519374</v>
      </c>
      <c r="J88" s="12"/>
    </row>
    <row r="89" spans="1:10" x14ac:dyDescent="0.3">
      <c r="A89" s="2">
        <v>12</v>
      </c>
      <c r="B89" s="2">
        <v>57128.577399051937</v>
      </c>
      <c r="C89" s="2">
        <v>-1148.5773990519374</v>
      </c>
      <c r="J89" s="12"/>
    </row>
    <row r="90" spans="1:10" x14ac:dyDescent="0.3">
      <c r="A90" s="2">
        <v>13</v>
      </c>
      <c r="B90" s="2">
        <v>57128.577399051937</v>
      </c>
      <c r="C90" s="2">
        <v>-32138.577399051937</v>
      </c>
      <c r="J90" s="12"/>
    </row>
    <row r="91" spans="1:10" x14ac:dyDescent="0.3">
      <c r="A91" s="2">
        <v>14</v>
      </c>
      <c r="B91" s="2">
        <v>57128.577399051937</v>
      </c>
      <c r="C91" s="2">
        <v>-30389.577399051937</v>
      </c>
      <c r="J91" s="12"/>
    </row>
    <row r="92" spans="1:10" x14ac:dyDescent="0.3">
      <c r="A92" s="2">
        <v>15</v>
      </c>
      <c r="B92" s="2">
        <v>57128.577399051937</v>
      </c>
      <c r="C92" s="2">
        <v>-24138.577399051937</v>
      </c>
      <c r="J92" s="12"/>
    </row>
    <row r="93" spans="1:10" x14ac:dyDescent="0.3">
      <c r="A93" s="2">
        <v>16</v>
      </c>
      <c r="B93" s="2">
        <v>57128.577399051937</v>
      </c>
      <c r="C93" s="2">
        <v>22770.422600948063</v>
      </c>
      <c r="J93" s="12"/>
    </row>
    <row r="94" spans="1:10" x14ac:dyDescent="0.3">
      <c r="A94" s="2">
        <v>17</v>
      </c>
      <c r="B94" s="2">
        <v>57128.577399051937</v>
      </c>
      <c r="C94" s="2">
        <v>2861.4226009480626</v>
      </c>
      <c r="J94" s="12"/>
    </row>
    <row r="95" spans="1:10" x14ac:dyDescent="0.3">
      <c r="A95" s="2">
        <v>18</v>
      </c>
      <c r="B95" s="2">
        <v>57128.577399051937</v>
      </c>
      <c r="C95" s="2">
        <v>-20188.577399051937</v>
      </c>
      <c r="J95" s="12"/>
    </row>
    <row r="96" spans="1:10" x14ac:dyDescent="0.3">
      <c r="A96" s="2">
        <v>19</v>
      </c>
      <c r="B96" s="2">
        <v>57128.577399051937</v>
      </c>
      <c r="C96" s="2">
        <v>-3238.5773990519374</v>
      </c>
      <c r="J96" s="12"/>
    </row>
    <row r="97" spans="1:10" x14ac:dyDescent="0.3">
      <c r="A97" s="2">
        <v>20</v>
      </c>
      <c r="B97" s="2">
        <v>57128.577399051937</v>
      </c>
      <c r="C97" s="2">
        <v>-23628.577399051937</v>
      </c>
      <c r="J97" s="12"/>
    </row>
    <row r="98" spans="1:10" x14ac:dyDescent="0.3">
      <c r="A98" s="2">
        <v>21</v>
      </c>
      <c r="B98" s="2">
        <v>57128.577399051937</v>
      </c>
      <c r="C98" s="2">
        <v>18861.422600948063</v>
      </c>
      <c r="J98" s="12"/>
    </row>
    <row r="99" spans="1:10" x14ac:dyDescent="0.3">
      <c r="A99" s="2">
        <v>22</v>
      </c>
      <c r="B99" s="2">
        <v>57128.577399051937</v>
      </c>
      <c r="C99" s="2">
        <v>-17328.577399051937</v>
      </c>
      <c r="J99" s="12"/>
    </row>
    <row r="100" spans="1:10" x14ac:dyDescent="0.3">
      <c r="A100" s="2">
        <v>23</v>
      </c>
      <c r="B100" s="2">
        <v>57128.577399051937</v>
      </c>
      <c r="C100" s="2">
        <v>-12138.577399051937</v>
      </c>
      <c r="J100" s="12"/>
    </row>
    <row r="101" spans="1:10" x14ac:dyDescent="0.3">
      <c r="A101" s="2">
        <v>24</v>
      </c>
      <c r="B101" s="2">
        <v>57128.577399051937</v>
      </c>
      <c r="C101" s="2">
        <v>24861.422600948063</v>
      </c>
      <c r="J101" s="12"/>
    </row>
    <row r="102" spans="1:10" x14ac:dyDescent="0.3">
      <c r="A102" s="2">
        <v>25</v>
      </c>
      <c r="B102" s="2">
        <v>57128.577399051937</v>
      </c>
      <c r="C102" s="2">
        <v>45370.422600948063</v>
      </c>
      <c r="J102" s="12"/>
    </row>
    <row r="103" spans="1:10" x14ac:dyDescent="0.3">
      <c r="A103" s="2">
        <v>26</v>
      </c>
      <c r="B103" s="2">
        <v>57128.577399051937</v>
      </c>
      <c r="C103" s="2">
        <v>-29138.577399051937</v>
      </c>
      <c r="J103" s="12"/>
    </row>
    <row r="104" spans="1:10" x14ac:dyDescent="0.3">
      <c r="A104" s="2">
        <v>27</v>
      </c>
      <c r="B104" s="2">
        <v>57128.577399051937</v>
      </c>
      <c r="C104" s="2">
        <v>37861.422600948063</v>
      </c>
      <c r="J104" s="12"/>
    </row>
    <row r="105" spans="1:10" x14ac:dyDescent="0.3">
      <c r="A105" s="2">
        <v>28</v>
      </c>
      <c r="B105" s="2">
        <v>57128.577399051937</v>
      </c>
      <c r="C105" s="2">
        <v>4861.4226009480626</v>
      </c>
      <c r="J105" s="12"/>
    </row>
    <row r="106" spans="1:10" x14ac:dyDescent="0.3">
      <c r="A106" s="2">
        <v>29</v>
      </c>
      <c r="B106" s="2">
        <v>57128.577399051937</v>
      </c>
      <c r="C106" s="2">
        <v>42861.422600948063</v>
      </c>
      <c r="J106" s="12"/>
    </row>
    <row r="107" spans="1:10" x14ac:dyDescent="0.3">
      <c r="A107" s="2">
        <v>30</v>
      </c>
      <c r="B107" s="2">
        <v>57128.577399051937</v>
      </c>
      <c r="C107" s="2">
        <v>-24138.577399051937</v>
      </c>
      <c r="J107" s="12"/>
    </row>
    <row r="108" spans="1:10" x14ac:dyDescent="0.3">
      <c r="A108" s="2">
        <v>31</v>
      </c>
      <c r="B108" s="2">
        <v>57439.388471741477</v>
      </c>
      <c r="C108" s="2">
        <v>-10549.388471741477</v>
      </c>
      <c r="J108" s="12"/>
    </row>
    <row r="109" spans="1:10" x14ac:dyDescent="0.3">
      <c r="A109" s="2">
        <v>32</v>
      </c>
      <c r="B109" s="2">
        <v>57439.388471741477</v>
      </c>
      <c r="C109" s="2">
        <v>55050.611528258523</v>
      </c>
      <c r="J109" s="12"/>
    </row>
    <row r="110" spans="1:10" x14ac:dyDescent="0.3">
      <c r="A110" s="2">
        <v>33</v>
      </c>
      <c r="B110" s="2">
        <v>57439.388471741477</v>
      </c>
      <c r="C110" s="2">
        <v>-21640.388471741477</v>
      </c>
      <c r="J110" s="12"/>
    </row>
    <row r="111" spans="1:10" x14ac:dyDescent="0.3">
      <c r="A111" s="2">
        <v>34</v>
      </c>
      <c r="B111" s="2">
        <v>57439.388471741477</v>
      </c>
      <c r="C111" s="2">
        <v>760.61152825852332</v>
      </c>
      <c r="J111" s="12"/>
    </row>
    <row r="112" spans="1:10" x14ac:dyDescent="0.3">
      <c r="A112" s="2">
        <v>35</v>
      </c>
      <c r="B112" s="2">
        <v>62982.185934705325</v>
      </c>
      <c r="C112" s="2">
        <v>5007.8140652946749</v>
      </c>
      <c r="J112" s="12"/>
    </row>
    <row r="113" spans="1:10" x14ac:dyDescent="0.3">
      <c r="A113" s="2">
        <v>36</v>
      </c>
      <c r="B113" s="2">
        <v>73850.213109750228</v>
      </c>
      <c r="C113" s="2">
        <v>148.78689024977211</v>
      </c>
      <c r="J113" s="12"/>
    </row>
    <row r="114" spans="1:10" x14ac:dyDescent="0.3">
      <c r="A114" s="2">
        <v>37</v>
      </c>
      <c r="B114" s="2">
        <v>73850.213109750228</v>
      </c>
      <c r="C114" s="2">
        <v>-3860.2131097502279</v>
      </c>
      <c r="J114" s="12"/>
    </row>
    <row r="115" spans="1:10" x14ac:dyDescent="0.3">
      <c r="A115" s="2">
        <v>38</v>
      </c>
      <c r="B115" s="2">
        <v>78388.054771017793</v>
      </c>
      <c r="C115" s="2">
        <v>-2398.0547710177925</v>
      </c>
      <c r="J115" s="12"/>
    </row>
    <row r="116" spans="1:10" x14ac:dyDescent="0.3">
      <c r="A116" s="2">
        <v>39</v>
      </c>
      <c r="B116" s="2">
        <v>82428.598715982094</v>
      </c>
      <c r="C116" s="2">
        <v>-2438.5987159820943</v>
      </c>
      <c r="J116" s="12"/>
    </row>
    <row r="117" spans="1:10" x14ac:dyDescent="0.3">
      <c r="A117" s="2">
        <v>40</v>
      </c>
      <c r="B117" s="2">
        <v>82428.598715982094</v>
      </c>
      <c r="C117" s="2">
        <v>2561.4012840179057</v>
      </c>
      <c r="J117" s="12"/>
    </row>
    <row r="118" spans="1:10" x14ac:dyDescent="0.3">
      <c r="A118" s="2">
        <v>41</v>
      </c>
      <c r="B118" s="2">
        <v>85888.961991925855</v>
      </c>
      <c r="C118" s="2">
        <v>8101.0380080741452</v>
      </c>
      <c r="J118" s="12"/>
    </row>
    <row r="119" spans="1:10" x14ac:dyDescent="0.3">
      <c r="A119" s="2">
        <v>42</v>
      </c>
      <c r="B119" s="2">
        <v>85888.961991925855</v>
      </c>
      <c r="C119" s="2">
        <v>14011.038008074145</v>
      </c>
      <c r="J119" s="12"/>
    </row>
    <row r="120" spans="1:10" x14ac:dyDescent="0.3">
      <c r="A120" s="2">
        <v>43</v>
      </c>
      <c r="B120" s="2">
        <v>105097.08628414063</v>
      </c>
      <c r="C120" s="2">
        <v>-8098.0862841406342</v>
      </c>
      <c r="J120" s="12"/>
    </row>
    <row r="121" spans="1:10" x14ac:dyDescent="0.3">
      <c r="A121" s="2">
        <v>44</v>
      </c>
      <c r="B121" s="2">
        <v>106309.24946762992</v>
      </c>
      <c r="C121" s="2">
        <v>-6319.2494676299248</v>
      </c>
      <c r="J121" s="12"/>
    </row>
    <row r="122" spans="1:10" x14ac:dyDescent="0.3">
      <c r="A122" s="2">
        <v>45</v>
      </c>
      <c r="B122" s="2">
        <v>130738.99978102928</v>
      </c>
      <c r="C122" s="2">
        <v>-35748.999781029284</v>
      </c>
      <c r="J122" s="12"/>
    </row>
    <row r="123" spans="1:10" x14ac:dyDescent="0.3">
      <c r="A123" s="2">
        <v>46</v>
      </c>
      <c r="B123" s="2">
        <v>143430.45191585296</v>
      </c>
      <c r="C123" s="2">
        <v>-40440.451915852958</v>
      </c>
      <c r="J123" s="12"/>
    </row>
    <row r="124" spans="1:10" x14ac:dyDescent="0.3">
      <c r="A124" s="2">
        <v>47</v>
      </c>
      <c r="B124" s="2">
        <v>143430.45191585296</v>
      </c>
      <c r="C124" s="2">
        <v>-28530.451915852958</v>
      </c>
      <c r="J124" s="12"/>
    </row>
    <row r="125" spans="1:10" ht="15" thickBot="1" x14ac:dyDescent="0.35">
      <c r="A125" s="3">
        <v>48</v>
      </c>
      <c r="B125" s="3">
        <v>145989.463080997</v>
      </c>
      <c r="C125" s="3">
        <v>104140.536919003</v>
      </c>
      <c r="J125" s="12"/>
    </row>
  </sheetData>
  <autoFilter ref="A3:B50" xr:uid="{6A6533F8-8E72-4171-8897-570370A15B2D}"/>
  <sortState xmlns:xlrd2="http://schemas.microsoft.com/office/spreadsheetml/2017/richdata2" ref="A3:B50">
    <sortCondition ref="B3:B50"/>
  </sortState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User</cp:lastModifiedBy>
  <dcterms:created xsi:type="dcterms:W3CDTF">2015-06-05T18:19:34Z</dcterms:created>
  <dcterms:modified xsi:type="dcterms:W3CDTF">2024-12-11T07:16:45Z</dcterms:modified>
</cp:coreProperties>
</file>