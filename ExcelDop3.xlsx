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CF557B8-F0D1-4D62-BCF0-944516A4DBB9}" xr6:coauthVersionLast="45" xr6:coauthVersionMax="45" xr10:uidLastSave="{00000000-0000-0000-0000-000000000000}"/>
  <bookViews>
    <workbookView xWindow="14136" yWindow="1032" windowWidth="17280" windowHeight="8964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AU22" i="1" l="1"/>
  <c r="AU21" i="1"/>
  <c r="AS23" i="1"/>
  <c r="AS22" i="1"/>
  <c r="AS21" i="1"/>
  <c r="AQ23" i="1"/>
  <c r="AQ22" i="1"/>
  <c r="AQ21" i="1"/>
  <c r="AQ5" i="1" l="1" a="1"/>
  <c r="AQ5" i="1" s="1"/>
  <c r="AQ9" i="1" s="1" a="1"/>
  <c r="AQ9" i="1" s="1"/>
  <c r="AQ13" i="1" s="1" a="1"/>
  <c r="AQ13" i="1" s="1"/>
  <c r="AQ15" i="1" l="1"/>
  <c r="AQ17" i="1" s="1"/>
  <c r="AS3" i="1"/>
  <c r="AR3" i="1"/>
  <c r="AC27" i="1"/>
  <c r="AC26" i="1"/>
  <c r="AS11" i="1"/>
  <c r="AR11" i="1"/>
  <c r="AQ11" i="1"/>
  <c r="AS10" i="1"/>
  <c r="AR10" i="1"/>
  <c r="AQ10" i="1"/>
  <c r="AS9" i="1"/>
  <c r="AR9" i="1"/>
  <c r="AS7" i="1"/>
  <c r="AR7" i="1"/>
  <c r="AQ7" i="1"/>
  <c r="AS6" i="1"/>
  <c r="AR6" i="1"/>
  <c r="AQ6" i="1"/>
  <c r="AS5" i="1"/>
  <c r="AR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<sst xmlns="http://schemas.openxmlformats.org/spreadsheetml/2006/main" count="87" uniqueCount="60">
  <si>
    <t>Price</t>
  </si>
  <si>
    <t>RAM_GB</t>
  </si>
  <si>
    <t>Storage_capacity_GB</t>
  </si>
  <si>
    <t>Display_size_inches</t>
  </si>
  <si>
    <t>Horizontal_pixel</t>
  </si>
  <si>
    <t>Vertical_pixel</t>
  </si>
  <si>
    <t>ppi</t>
  </si>
  <si>
    <t>x1</t>
  </si>
  <si>
    <t>x2</t>
  </si>
  <si>
    <t>y</t>
  </si>
  <si>
    <t>x3</t>
  </si>
  <si>
    <t>x4</t>
  </si>
  <si>
    <t>x5</t>
  </si>
  <si>
    <t>x6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</si>
  <si>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</si>
  <si>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</si>
  <si>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</si>
  <si>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</si>
  <si>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</si>
  <si>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</si>
  <si>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</si>
  <si>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</si>
  <si>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</si>
  <si>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</si>
  <si>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</si>
  <si>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</si>
  <si>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</si>
  <si>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</si>
  <si>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</si>
  <si>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</si>
  <si>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</si>
  <si>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</si>
  <si>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</si>
  <si>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</si>
  <si>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</si>
  <si>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</si>
  <si>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</si>
  <si>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</si>
  <si>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r>
      <t>y= -130653+6141x</t>
    </r>
    <r>
      <rPr>
        <vertAlign val="subscript"/>
        <sz val="11"/>
        <color indexed="8"/>
        <rFont val="Calibri"/>
        <family val="2"/>
        <charset val="204"/>
      </rPr>
      <t>1</t>
    </r>
    <r>
      <rPr>
        <sz val="11"/>
        <color indexed="8"/>
        <rFont val="Calibri"/>
        <family val="2"/>
        <charset val="204"/>
      </rPr>
      <t>+786x</t>
    </r>
    <r>
      <rPr>
        <vertAlign val="subscript"/>
        <sz val="11"/>
        <color indexed="8"/>
        <rFont val="Calibri"/>
        <family val="2"/>
        <charset val="204"/>
      </rPr>
      <t>6</t>
    </r>
  </si>
  <si>
    <r>
      <t>R</t>
    </r>
    <r>
      <rPr>
        <vertAlign val="superscript"/>
        <sz val="11"/>
        <color indexed="8"/>
        <rFont val="Calibri"/>
        <family val="2"/>
        <charset val="204"/>
      </rPr>
      <t>2</t>
    </r>
    <r>
      <rPr>
        <sz val="11"/>
        <color indexed="8"/>
        <rFont val="Calibri"/>
        <family val="2"/>
        <charset val="204"/>
      </rPr>
      <t>=0,71</t>
    </r>
  </si>
  <si>
    <r>
      <t>t</t>
    </r>
    <r>
      <rPr>
        <vertAlign val="subscript"/>
        <sz val="11"/>
        <color indexed="8"/>
        <rFont val="Calibri"/>
        <family val="2"/>
        <charset val="204"/>
      </rPr>
      <t>ст</t>
    </r>
    <r>
      <rPr>
        <sz val="11"/>
        <color indexed="8"/>
        <rFont val="Calibri"/>
        <family val="2"/>
        <charset val="204"/>
      </rPr>
      <t>= (-5,6)     (8,4)       (5,4)</t>
    </r>
  </si>
  <si>
    <t>F=56,4</t>
  </si>
  <si>
    <r>
      <t>t</t>
    </r>
    <r>
      <rPr>
        <vertAlign val="subscript"/>
        <sz val="11"/>
        <color indexed="8"/>
        <rFont val="Calibri"/>
        <family val="2"/>
        <charset val="204"/>
      </rPr>
      <t xml:space="preserve">кр = </t>
    </r>
  </si>
  <si>
    <r>
      <t>F</t>
    </r>
    <r>
      <rPr>
        <vertAlign val="subscript"/>
        <sz val="11"/>
        <color indexed="8"/>
        <rFont val="Calibri"/>
        <family val="2"/>
        <charset val="204"/>
      </rPr>
      <t>кр=</t>
    </r>
  </si>
  <si>
    <r>
      <t>X</t>
    </r>
    <r>
      <rPr>
        <vertAlign val="superscript"/>
        <sz val="11"/>
        <color indexed="8"/>
        <rFont val="Calibri"/>
        <family val="2"/>
        <charset val="204"/>
      </rPr>
      <t>T</t>
    </r>
    <r>
      <rPr>
        <vertAlign val="subscript"/>
        <sz val="11"/>
        <color indexed="8"/>
        <rFont val="Calibri"/>
        <family val="2"/>
        <charset val="204"/>
      </rPr>
      <t xml:space="preserve">пр = </t>
    </r>
  </si>
  <si>
    <r>
      <t>х</t>
    </r>
    <r>
      <rPr>
        <vertAlign val="subscript"/>
        <sz val="11"/>
        <color indexed="8"/>
        <rFont val="Calibri"/>
        <family val="2"/>
        <charset val="204"/>
      </rPr>
      <t>1пр</t>
    </r>
  </si>
  <si>
    <r>
      <t>х</t>
    </r>
    <r>
      <rPr>
        <vertAlign val="subscript"/>
        <sz val="11"/>
        <color indexed="8"/>
        <rFont val="Calibri"/>
        <family val="2"/>
        <charset val="204"/>
      </rPr>
      <t>6пр</t>
    </r>
  </si>
  <si>
    <r>
      <t>Х</t>
    </r>
    <r>
      <rPr>
        <vertAlign val="superscript"/>
        <sz val="11"/>
        <color indexed="8"/>
        <rFont val="Calibri"/>
        <family val="2"/>
        <charset val="204"/>
      </rPr>
      <t>т</t>
    </r>
    <r>
      <rPr>
        <sz val="11"/>
        <color indexed="8"/>
        <rFont val="Calibri"/>
        <family val="2"/>
        <charset val="204"/>
      </rPr>
      <t>Х</t>
    </r>
    <r>
      <rPr>
        <sz val="11"/>
        <color indexed="8"/>
        <rFont val="Calibri"/>
        <family val="2"/>
        <charset val="204"/>
      </rPr>
      <t xml:space="preserve"> = </t>
    </r>
  </si>
  <si>
    <r>
      <t>(Х</t>
    </r>
    <r>
      <rPr>
        <vertAlign val="superscript"/>
        <sz val="11"/>
        <color rgb="FF000000"/>
        <rFont val="Calibri"/>
        <family val="2"/>
        <charset val="204"/>
      </rPr>
      <t>т</t>
    </r>
    <r>
      <rPr>
        <sz val="11"/>
        <color rgb="FF000000"/>
        <rFont val="Calibri"/>
        <family val="2"/>
        <charset val="204"/>
      </rPr>
      <t>Х)</t>
    </r>
    <r>
      <rPr>
        <vertAlign val="superscript"/>
        <sz val="11"/>
        <color rgb="FF000000"/>
        <rFont val="Calibri"/>
        <family val="2"/>
        <charset val="204"/>
      </rPr>
      <t xml:space="preserve">-1 </t>
    </r>
    <r>
      <rPr>
        <sz val="11"/>
        <color rgb="FF000000"/>
        <rFont val="Calibri"/>
        <family val="2"/>
        <charset val="204"/>
      </rPr>
      <t>=</t>
    </r>
  </si>
  <si>
    <r>
      <t>Х</t>
    </r>
    <r>
      <rPr>
        <vertAlign val="superscript"/>
        <sz val="11"/>
        <color rgb="FF000000"/>
        <rFont val="Calibri"/>
        <family val="2"/>
        <charset val="204"/>
      </rPr>
      <t>т</t>
    </r>
    <r>
      <rPr>
        <vertAlign val="subscript"/>
        <sz val="11"/>
        <color rgb="FF000000"/>
        <rFont val="Calibri"/>
        <family val="2"/>
        <charset val="204"/>
      </rPr>
      <t>пр</t>
    </r>
    <r>
      <rPr>
        <sz val="11"/>
        <color indexed="8"/>
        <rFont val="Calibri"/>
        <family val="2"/>
        <charset val="204"/>
      </rPr>
      <t>(Х</t>
    </r>
    <r>
      <rPr>
        <vertAlign val="superscript"/>
        <sz val="11"/>
        <color rgb="FF000000"/>
        <rFont val="Calibri"/>
        <family val="2"/>
        <charset val="204"/>
      </rPr>
      <t>т</t>
    </r>
    <r>
      <rPr>
        <sz val="11"/>
        <color indexed="8"/>
        <rFont val="Calibri"/>
        <family val="2"/>
        <charset val="204"/>
      </rPr>
      <t>Х)</t>
    </r>
    <r>
      <rPr>
        <vertAlign val="superscript"/>
        <sz val="11"/>
        <color rgb="FF000000"/>
        <rFont val="Calibri"/>
        <family val="2"/>
        <charset val="204"/>
      </rPr>
      <t>-1</t>
    </r>
    <r>
      <rPr>
        <sz val="11"/>
        <color indexed="8"/>
        <rFont val="Calibri"/>
        <family val="2"/>
        <charset val="204"/>
      </rPr>
      <t>Х</t>
    </r>
    <r>
      <rPr>
        <vertAlign val="subscript"/>
        <sz val="11"/>
        <color rgb="FF000000"/>
        <rFont val="Calibri"/>
        <family val="2"/>
        <charset val="204"/>
      </rPr>
      <t>пр</t>
    </r>
    <r>
      <rPr>
        <sz val="11"/>
        <color indexed="8"/>
        <rFont val="Calibri"/>
        <family val="2"/>
        <charset val="204"/>
      </rPr>
      <t xml:space="preserve"> =</t>
    </r>
  </si>
  <si>
    <r>
      <t>t</t>
    </r>
    <r>
      <rPr>
        <vertAlign val="subscript"/>
        <sz val="11"/>
        <color rgb="FF000000"/>
        <rFont val="Calibri"/>
        <family val="2"/>
        <charset val="204"/>
      </rPr>
      <t>кр</t>
    </r>
    <r>
      <rPr>
        <sz val="11"/>
        <color indexed="8"/>
        <rFont val="Calibri"/>
        <family val="2"/>
        <charset val="204"/>
      </rPr>
      <t xml:space="preserve"> * s</t>
    </r>
    <r>
      <rPr>
        <vertAlign val="subscript"/>
        <sz val="11"/>
        <color rgb="FF000000"/>
        <rFont val="Calibri"/>
        <family val="2"/>
        <charset val="204"/>
      </rPr>
      <t xml:space="preserve">y </t>
    </r>
    <r>
      <rPr>
        <sz val="11"/>
        <color rgb="FF000000"/>
        <rFont val="Calibri"/>
        <family val="2"/>
        <charset val="204"/>
      </rPr>
      <t>=</t>
    </r>
    <r>
      <rPr>
        <vertAlign val="subscript"/>
        <sz val="11"/>
        <color rgb="FF000000"/>
        <rFont val="Calibri"/>
        <family val="2"/>
        <charset val="204"/>
      </rPr>
      <t xml:space="preserve"> </t>
    </r>
  </si>
  <si>
    <r>
      <t>s</t>
    </r>
    <r>
      <rPr>
        <vertAlign val="subscript"/>
        <sz val="11"/>
        <color rgb="FF000000"/>
        <rFont val="Calibri"/>
        <family val="2"/>
        <charset val="204"/>
      </rPr>
      <t xml:space="preserve">y </t>
    </r>
    <r>
      <rPr>
        <sz val="11"/>
        <color rgb="FF000000"/>
        <rFont val="Calibri"/>
        <family val="2"/>
        <charset val="204"/>
      </rPr>
      <t>=</t>
    </r>
  </si>
  <si>
    <r>
      <t>x</t>
    </r>
    <r>
      <rPr>
        <vertAlign val="subscript"/>
        <sz val="11"/>
        <color rgb="FF000000"/>
        <rFont val="Calibri"/>
        <family val="2"/>
        <charset val="204"/>
      </rPr>
      <t>1пр</t>
    </r>
    <r>
      <rPr>
        <sz val="11"/>
        <color indexed="8"/>
        <rFont val="Calibri"/>
      </rPr>
      <t xml:space="preserve"> = </t>
    </r>
  </si>
  <si>
    <r>
      <t>х</t>
    </r>
    <r>
      <rPr>
        <vertAlign val="subscript"/>
        <sz val="11"/>
        <color rgb="FF000000"/>
        <rFont val="Calibri"/>
        <family val="2"/>
        <charset val="204"/>
      </rPr>
      <t>6пр</t>
    </r>
    <r>
      <rPr>
        <sz val="11"/>
        <color indexed="8"/>
        <rFont val="Calibri"/>
        <family val="2"/>
        <charset val="204"/>
      </rPr>
      <t xml:space="preserve"> =</t>
    </r>
  </si>
  <si>
    <r>
      <t>y</t>
    </r>
    <r>
      <rPr>
        <vertAlign val="subscript"/>
        <sz val="11"/>
        <color rgb="FF000000"/>
        <rFont val="Calibri"/>
        <family val="2"/>
        <charset val="204"/>
      </rPr>
      <t xml:space="preserve">пр </t>
    </r>
    <r>
      <rPr>
        <sz val="11"/>
        <color rgb="FF000000"/>
        <rFont val="Calibri"/>
        <family val="2"/>
        <charset val="204"/>
      </rPr>
      <t>=</t>
    </r>
  </si>
  <si>
    <t>уср</t>
  </si>
  <si>
    <t>Lx6</t>
  </si>
  <si>
    <t>Lx1</t>
  </si>
  <si>
    <t>х1ср</t>
  </si>
  <si>
    <t>х6ср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</si>
</sst>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</font>
    <font>
      <i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vertAlign val="superscript"/>
      <sz val="11"/>
      <color indexed="8"/>
      <name val="Calibri"/>
      <family val="2"/>
      <charset val="204"/>
    </font>
    <font>
      <vertAlign val="subscript"/>
      <sz val="11"/>
      <color indexed="8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vertAlign val="subscript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9">
    <xf numFmtId="0" fontId="0" fillId="0" borderId="0" xfId="0" applyFill="1" applyProtection="1"/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2" fillId="0" borderId="0" xfId="0" applyFont="1" applyFill="1" applyProtection="1"/>
    <xf numFmtId="0" fontId="3" fillId="2" borderId="0" xfId="0" applyFont="1" applyFill="1" applyProtection="1"/>
    <xf numFmtId="0" fontId="0" fillId="2" borderId="0" xfId="0" applyFill="1" applyProtection="1"/>
    <xf numFmtId="0" fontId="1" fillId="0" borderId="2" xfId="0" applyFont="1" applyFill="1" applyBorder="1" applyAlignment="1" applyProtection="1">
      <alignment horizontal="centerContinuous"/>
    </xf>
    <xf numFmtId="0" fontId="0" fillId="0" borderId="3" xfId="0" applyFill="1" applyBorder="1" applyProtection="1"/>
    <xf numFmtId="0" fontId="2" fillId="0" borderId="3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"/>
  <sheetViews>
    <sheetView tabSelected="1" showRuler="0" topLeftCell="AK1" zoomScale="72" zoomScaleNormal="100" workbookViewId="0">
      <selection activeCell="AU23" sqref="AU23"/>
    </sheetView>
  </sheetViews>
  <sheetFormatPr defaultRowHeight="14.4" x14ac:dyDescent="0.3"/>
  <cols>
    <col min="1" max="1" width="12.5546875" customWidth="1"/>
    <col min="2" max="2" width="9.109375" customWidth="1"/>
    <col min="3" max="7" width="15.109375" customWidth="1"/>
    <col min="22" max="22" width="12.5546875" customWidth="1"/>
    <col min="23" max="23" width="9.109375" customWidth="1"/>
    <col min="24" max="24" width="15.109375" customWidth="1"/>
    <col min="26" max="34" width="22.33203125" customWidth="1"/>
    <col min="42" max="42" width="17.33203125" customWidth="1"/>
    <col min="43" max="43" width="8.88671875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V1" t="s">
        <v>0</v>
      </c>
      <c r="W1" t="s">
        <v>1</v>
      </c>
      <c r="X1" t="s">
        <v>6</v>
      </c>
      <c r="AM1" t="s">
        <v>1</v>
      </c>
      <c r="AN1" t="s">
        <v>6</v>
      </c>
    </row>
    <row r="2" spans="1:45" ht="15.6" x14ac:dyDescent="0.35">
      <c r="A2" t="s">
        <v>9</v>
      </c>
      <c r="B2" s="3" t="s">
        <v>7</v>
      </c>
      <c r="C2" s="3" t="s">
        <v>8</v>
      </c>
      <c r="D2" s="3" t="s">
        <v>10</v>
      </c>
      <c r="E2" s="3" t="s">
        <v>11</v>
      </c>
      <c r="F2" s="3" t="s">
        <v>12</v>
      </c>
      <c r="G2" s="3" t="s">
        <v>13</v>
      </c>
      <c r="V2" t="s">
        <v>9</v>
      </c>
      <c r="W2" s="3" t="s">
        <v>7</v>
      </c>
      <c r="X2" s="3" t="s">
        <v>13</v>
      </c>
      <c r="AM2" s="3" t="s">
        <v>7</v>
      </c>
      <c r="AN2" s="3" t="s">
        <v>13</v>
      </c>
      <c r="AQ2" s="7"/>
      <c r="AR2" s="8" t="s">
        <v>45</v>
      </c>
      <c r="AS2" s="8" t="s">
        <v>46</v>
      </c>
    </row>
    <row r="3" spans="1:45" ht="16.8" x14ac:dyDescent="0.35">
      <c r="A3">
        <v>50399</v>
      </c>
      <c r="B3">
        <v>8</v>
      </c>
      <c r="C3">
        <v>512</v>
      </c>
      <c r="D3">
        <v>15.6</v>
      </c>
      <c r="E3">
        <v>1920</v>
      </c>
      <c r="F3">
        <v>1080</v>
      </c>
      <c r="G3">
        <v>141.21</v>
      </c>
      <c r="V3">
        <v>50399</v>
      </c>
      <c r="W3">
        <v>8</v>
      </c>
      <c r="X3">
        <v>141.21</v>
      </c>
      <c r="AL3">
        <v>1</v>
      </c>
      <c r="AM3">
        <v>8</v>
      </c>
      <c r="AN3">
        <v>141.21</v>
      </c>
      <c r="AP3" s="3" t="s">
        <v>44</v>
      </c>
      <c r="AQ3" s="7">
        <v>1</v>
      </c>
      <c r="AR3" s="7">
        <f>1.2*AVERAGE(AM3:AM50)</f>
        <v>15.6</v>
      </c>
      <c r="AS3" s="7">
        <f>1.2*AVERAGE(AN3:AN50)</f>
        <v>183.54400000000004</v>
      </c>
    </row>
    <row r="4" spans="1:45" ht="15" thickBot="1" x14ac:dyDescent="0.35">
      <c r="A4">
        <v>26690</v>
      </c>
      <c r="B4">
        <v>8</v>
      </c>
      <c r="C4">
        <v>512</v>
      </c>
      <c r="D4">
        <v>15.6</v>
      </c>
      <c r="E4">
        <v>1920</v>
      </c>
      <c r="F4">
        <v>1080</v>
      </c>
      <c r="G4">
        <v>141.21</v>
      </c>
      <c r="V4">
        <v>26690</v>
      </c>
      <c r="W4">
        <v>8</v>
      </c>
      <c r="X4">
        <v>141.21</v>
      </c>
      <c r="Z4" t="s">
        <v>14</v>
      </c>
      <c r="AL4">
        <v>1</v>
      </c>
      <c r="AM4">
        <v>8</v>
      </c>
      <c r="AN4">
        <v>141.21</v>
      </c>
    </row>
    <row r="5" spans="1:45" ht="15" thickBot="1" x14ac:dyDescent="0.35">
      <c r="A5">
        <v>37012</v>
      </c>
      <c r="B5">
        <v>8</v>
      </c>
      <c r="C5">
        <v>512</v>
      </c>
      <c r="D5">
        <v>15.6</v>
      </c>
      <c r="E5">
        <v>1920</v>
      </c>
      <c r="F5">
        <v>1080</v>
      </c>
      <c r="G5">
        <v>141.21</v>
      </c>
      <c r="K5" s="2"/>
      <c r="L5" s="2" t="s">
        <v>9</v>
      </c>
      <c r="M5" s="2" t="s">
        <v>7</v>
      </c>
      <c r="N5" s="2" t="s">
        <v>8</v>
      </c>
      <c r="O5" s="2" t="s">
        <v>10</v>
      </c>
      <c r="P5" s="2" t="s">
        <v>11</v>
      </c>
      <c r="Q5" s="2" t="s">
        <v>12</v>
      </c>
      <c r="R5" s="2" t="s">
        <v>13</v>
      </c>
      <c r="V5">
        <v>37012</v>
      </c>
      <c r="W5">
        <v>8</v>
      </c>
      <c r="X5">
        <v>141.21</v>
      </c>
      <c r="AL5">
        <v>1</v>
      </c>
      <c r="AM5">
        <v>8</v>
      </c>
      <c r="AN5">
        <v>141.21</v>
      </c>
      <c r="AQ5" s="8" cm="1">
        <f t="array" ref="AQ5:AS7">MMULT(TRANSPOSE(AL3:AN50),AL3:AN50)</f>
        <v>48</v>
      </c>
      <c r="AR5" s="7">
        <v>624</v>
      </c>
      <c r="AS5" s="7">
        <v>7341.760000000002</v>
      </c>
    </row>
    <row r="6" spans="1:45" ht="16.2" x14ac:dyDescent="0.3">
      <c r="A6">
        <v>69990</v>
      </c>
      <c r="B6">
        <v>16</v>
      </c>
      <c r="C6">
        <v>512</v>
      </c>
      <c r="D6">
        <v>13.3</v>
      </c>
      <c r="E6">
        <v>1080</v>
      </c>
      <c r="F6">
        <v>1920</v>
      </c>
      <c r="G6">
        <v>165.63</v>
      </c>
      <c r="K6" t="s">
        <v>9</v>
      </c>
      <c r="L6">
        <v>1</v>
      </c>
      <c r="V6">
        <v>69990</v>
      </c>
      <c r="W6">
        <v>16</v>
      </c>
      <c r="X6">
        <v>165.63</v>
      </c>
      <c r="Z6" s="6" t="s">
        <v>15</v>
      </c>
      <c r="AA6" s="6"/>
      <c r="AL6">
        <v>1</v>
      </c>
      <c r="AM6">
        <v>16</v>
      </c>
      <c r="AN6">
        <v>165.63</v>
      </c>
      <c r="AP6" s="3" t="s">
        <v>47</v>
      </c>
      <c r="AQ6" s="7">
        <v>624</v>
      </c>
      <c r="AR6" s="7">
        <v>9216</v>
      </c>
      <c r="AS6" s="7">
        <v>96155.280000000013</v>
      </c>
    </row>
    <row r="7" spans="1:45" x14ac:dyDescent="0.3">
      <c r="A7">
        <v>23990</v>
      </c>
      <c r="B7">
        <v>8</v>
      </c>
      <c r="C7">
        <v>512</v>
      </c>
      <c r="D7">
        <v>15.6</v>
      </c>
      <c r="E7">
        <v>1920</v>
      </c>
      <c r="F7">
        <v>1080</v>
      </c>
      <c r="G7">
        <v>141.21</v>
      </c>
      <c r="K7" t="s">
        <v>7</v>
      </c>
      <c r="L7">
        <v>0.72853307146757007</v>
      </c>
      <c r="M7">
        <v>1</v>
      </c>
      <c r="V7">
        <v>23990</v>
      </c>
      <c r="W7">
        <v>8</v>
      </c>
      <c r="X7">
        <v>141.21</v>
      </c>
      <c r="Z7" t="s">
        <v>16</v>
      </c>
      <c r="AA7">
        <v>0.84540136576428937</v>
      </c>
      <c r="AL7">
        <v>1</v>
      </c>
      <c r="AM7">
        <v>8</v>
      </c>
      <c r="AN7">
        <v>141.21</v>
      </c>
      <c r="AQ7" s="7">
        <v>7341.760000000002</v>
      </c>
      <c r="AR7" s="7">
        <v>96155.280000000013</v>
      </c>
      <c r="AS7" s="7">
        <v>1150791.6464000002</v>
      </c>
    </row>
    <row r="8" spans="1:45" x14ac:dyDescent="0.3">
      <c r="A8">
        <v>42990</v>
      </c>
      <c r="B8">
        <v>8</v>
      </c>
      <c r="C8">
        <v>512</v>
      </c>
      <c r="D8">
        <v>15.6</v>
      </c>
      <c r="E8">
        <v>1920</v>
      </c>
      <c r="F8">
        <v>1080</v>
      </c>
      <c r="G8">
        <v>141.21</v>
      </c>
      <c r="K8" s="5" t="s">
        <v>8</v>
      </c>
      <c r="L8">
        <v>0.4827052350534794</v>
      </c>
      <c r="M8">
        <v>0.54193244498202309</v>
      </c>
      <c r="N8">
        <v>1</v>
      </c>
      <c r="V8">
        <v>42990</v>
      </c>
      <c r="W8">
        <v>8</v>
      </c>
      <c r="X8">
        <v>141.21</v>
      </c>
      <c r="Z8" t="s">
        <v>17</v>
      </c>
      <c r="AA8">
        <v>0.71470346923612582</v>
      </c>
      <c r="AL8">
        <v>1</v>
      </c>
      <c r="AM8">
        <v>8</v>
      </c>
      <c r="AN8">
        <v>141.21</v>
      </c>
    </row>
    <row r="9" spans="1:45" x14ac:dyDescent="0.3">
      <c r="A9">
        <v>102990</v>
      </c>
      <c r="B9">
        <v>16</v>
      </c>
      <c r="C9">
        <v>1000</v>
      </c>
      <c r="D9">
        <v>16.100000000000001</v>
      </c>
      <c r="E9">
        <v>2560</v>
      </c>
      <c r="F9">
        <v>1600</v>
      </c>
      <c r="G9">
        <v>187.51</v>
      </c>
      <c r="K9" s="5" t="s">
        <v>10</v>
      </c>
      <c r="L9">
        <v>-8.0387777024900339E-2</v>
      </c>
      <c r="M9">
        <v>4.3044230605736047E-2</v>
      </c>
      <c r="N9">
        <v>0.3673360114911432</v>
      </c>
      <c r="O9">
        <v>1</v>
      </c>
      <c r="V9">
        <v>102990</v>
      </c>
      <c r="W9">
        <v>16</v>
      </c>
      <c r="X9">
        <v>187.51</v>
      </c>
      <c r="Z9" t="s">
        <v>18</v>
      </c>
      <c r="AA9">
        <v>0.70202362342439817</v>
      </c>
      <c r="AL9">
        <v>1</v>
      </c>
      <c r="AM9">
        <v>16</v>
      </c>
      <c r="AN9">
        <v>187.51</v>
      </c>
      <c r="AQ9" s="7" cm="1">
        <f t="array" ref="AQ9:AS11">MINVERSE(AQ5:AS7)</f>
        <v>0.93705716764192204</v>
      </c>
      <c r="AR9" s="7">
        <v>-8.3689317005183617E-3</v>
      </c>
      <c r="AS9" s="7">
        <v>-5.2789155006005084E-3</v>
      </c>
    </row>
    <row r="10" spans="1:45" ht="16.2" x14ac:dyDescent="0.3">
      <c r="A10">
        <v>33780</v>
      </c>
      <c r="B10">
        <v>8</v>
      </c>
      <c r="C10">
        <v>512</v>
      </c>
      <c r="D10">
        <v>15.6</v>
      </c>
      <c r="E10">
        <v>1920</v>
      </c>
      <c r="F10">
        <v>1080</v>
      </c>
      <c r="G10">
        <v>141.21</v>
      </c>
      <c r="K10" s="4" t="s">
        <v>11</v>
      </c>
      <c r="L10">
        <v>0.49788951413641974</v>
      </c>
      <c r="M10">
        <v>0.14759265050649653</v>
      </c>
      <c r="N10">
        <v>4.8496954036457963E-2</v>
      </c>
      <c r="O10">
        <v>3.7469287999711096E-2</v>
      </c>
      <c r="P10">
        <v>1</v>
      </c>
      <c r="V10">
        <v>33780</v>
      </c>
      <c r="W10">
        <v>8</v>
      </c>
      <c r="X10">
        <v>141.21</v>
      </c>
      <c r="Z10" t="s">
        <v>19</v>
      </c>
      <c r="AA10">
        <v>24142.9960929021</v>
      </c>
      <c r="AL10">
        <v>1</v>
      </c>
      <c r="AM10">
        <v>8</v>
      </c>
      <c r="AN10">
        <v>141.21</v>
      </c>
      <c r="AP10" s="3" t="s">
        <v>48</v>
      </c>
      <c r="AQ10" s="7">
        <v>-8.3689317005183599E-3</v>
      </c>
      <c r="AR10" s="7">
        <v>9.2100231523528176E-4</v>
      </c>
      <c r="AS10" s="7">
        <v>-2.356338576607442E-5</v>
      </c>
    </row>
    <row r="11" spans="1:45" ht="15" thickBot="1" x14ac:dyDescent="0.35">
      <c r="A11">
        <v>54990</v>
      </c>
      <c r="B11">
        <v>16</v>
      </c>
      <c r="C11">
        <v>512</v>
      </c>
      <c r="D11">
        <v>15.6</v>
      </c>
      <c r="E11">
        <v>1920</v>
      </c>
      <c r="F11">
        <v>1080</v>
      </c>
      <c r="G11">
        <v>141.21</v>
      </c>
      <c r="K11" s="5" t="s">
        <v>12</v>
      </c>
      <c r="L11">
        <v>0.38709430860253025</v>
      </c>
      <c r="M11">
        <v>0.17224351927874956</v>
      </c>
      <c r="N11">
        <v>-0.10401497731952339</v>
      </c>
      <c r="O11">
        <v>-0.48673505788346366</v>
      </c>
      <c r="P11">
        <v>-2.3744029126831864E-2</v>
      </c>
      <c r="Q11">
        <v>1</v>
      </c>
      <c r="V11">
        <v>54990</v>
      </c>
      <c r="W11">
        <v>16</v>
      </c>
      <c r="X11">
        <v>141.21</v>
      </c>
      <c r="Z11" s="1" t="s">
        <v>20</v>
      </c>
      <c r="AA11" s="1">
        <v>48</v>
      </c>
      <c r="AL11">
        <v>1</v>
      </c>
      <c r="AM11">
        <v>16</v>
      </c>
      <c r="AN11">
        <v>141.21</v>
      </c>
      <c r="AQ11" s="7">
        <v>-5.2789155006005084E-3</v>
      </c>
      <c r="AR11" s="7">
        <v>-2.35633857660744E-5</v>
      </c>
      <c r="AS11" s="7">
        <v>3.6515971204023933E-5</v>
      </c>
    </row>
    <row r="12" spans="1:45" ht="15" thickBot="1" x14ac:dyDescent="0.35">
      <c r="A12">
        <v>55980</v>
      </c>
      <c r="B12">
        <v>16</v>
      </c>
      <c r="C12">
        <v>512</v>
      </c>
      <c r="D12">
        <v>15.6</v>
      </c>
      <c r="E12">
        <v>1920</v>
      </c>
      <c r="F12">
        <v>1080</v>
      </c>
      <c r="G12">
        <v>141.21</v>
      </c>
      <c r="K12" s="1" t="s">
        <v>13</v>
      </c>
      <c r="L12" s="1">
        <v>0.51893921840009516</v>
      </c>
      <c r="M12" s="1">
        <v>0.12848898676834278</v>
      </c>
      <c r="N12" s="1">
        <v>-0.20139337797792664</v>
      </c>
      <c r="O12" s="1">
        <v>-0.64419553455917522</v>
      </c>
      <c r="P12" s="1">
        <v>0.59993151767251918</v>
      </c>
      <c r="Q12" s="1">
        <v>0.69205211064285777</v>
      </c>
      <c r="R12" s="1">
        <v>1</v>
      </c>
      <c r="V12">
        <v>55980</v>
      </c>
      <c r="W12">
        <v>16</v>
      </c>
      <c r="X12">
        <v>141.21</v>
      </c>
      <c r="AL12">
        <v>1</v>
      </c>
      <c r="AM12">
        <v>16</v>
      </c>
      <c r="AN12">
        <v>141.21</v>
      </c>
    </row>
    <row r="13" spans="1:45" ht="17.399999999999999" thickBot="1" x14ac:dyDescent="0.4">
      <c r="A13">
        <v>24990</v>
      </c>
      <c r="B13">
        <v>8</v>
      </c>
      <c r="C13">
        <v>512</v>
      </c>
      <c r="D13">
        <v>15.6</v>
      </c>
      <c r="E13">
        <v>1080</v>
      </c>
      <c r="F13">
        <v>1920</v>
      </c>
      <c r="G13">
        <v>141.21</v>
      </c>
      <c r="V13">
        <v>24990</v>
      </c>
      <c r="W13">
        <v>8</v>
      </c>
      <c r="X13">
        <v>141.21</v>
      </c>
      <c r="Z13" t="s">
        <v>21</v>
      </c>
      <c r="AL13">
        <v>1</v>
      </c>
      <c r="AM13">
        <v>8</v>
      </c>
      <c r="AN13">
        <v>141.21</v>
      </c>
      <c r="AP13" s="3" t="s">
        <v>49</v>
      </c>
      <c r="AQ13" s="7" cm="1">
        <f t="array" ref="AQ13">MMULT(AQ3:AS3,MMULT(AQ9:AS11,TRANSPOSE(AQ3:AS3)))</f>
        <v>5.7482286705676983E-2</v>
      </c>
    </row>
    <row r="14" spans="1:45" x14ac:dyDescent="0.3">
      <c r="A14">
        <v>26739</v>
      </c>
      <c r="B14">
        <v>8</v>
      </c>
      <c r="C14">
        <v>512</v>
      </c>
      <c r="D14">
        <v>15.6</v>
      </c>
      <c r="E14">
        <v>1920</v>
      </c>
      <c r="F14">
        <v>1080</v>
      </c>
      <c r="G14">
        <v>141.21</v>
      </c>
      <c r="V14">
        <v>26739</v>
      </c>
      <c r="W14">
        <v>8</v>
      </c>
      <c r="X14">
        <v>141.21</v>
      </c>
      <c r="Z14" s="2"/>
      <c r="AA14" s="2" t="s">
        <v>26</v>
      </c>
      <c r="AB14" s="2" t="s">
        <v>27</v>
      </c>
      <c r="AC14" s="2" t="s">
        <v>28</v>
      </c>
      <c r="AD14" s="2" t="s">
        <v>29</v>
      </c>
      <c r="AE14" s="2" t="s">
        <v>30</v>
      </c>
      <c r="AL14">
        <v>1</v>
      </c>
      <c r="AM14">
        <v>8</v>
      </c>
      <c r="AN14">
        <v>141.21</v>
      </c>
    </row>
    <row r="15" spans="1:45" ht="15.6" x14ac:dyDescent="0.35">
      <c r="A15">
        <v>81990</v>
      </c>
      <c r="B15">
        <v>16</v>
      </c>
      <c r="C15">
        <v>1000</v>
      </c>
      <c r="D15">
        <v>16.100000000000001</v>
      </c>
      <c r="E15">
        <v>1920</v>
      </c>
      <c r="F15">
        <v>1080</v>
      </c>
      <c r="G15">
        <v>136.83000000000001</v>
      </c>
      <c r="V15">
        <v>81990</v>
      </c>
      <c r="W15">
        <v>16</v>
      </c>
      <c r="X15">
        <v>136.83000000000001</v>
      </c>
      <c r="Z15" t="s">
        <v>22</v>
      </c>
      <c r="AA15">
        <v>2</v>
      </c>
      <c r="AB15">
        <v>65708906750.927628</v>
      </c>
      <c r="AC15">
        <v>32854453375.463814</v>
      </c>
      <c r="AD15">
        <v>56.365312311218183</v>
      </c>
      <c r="AE15">
        <v>5.5484418524502899E-13</v>
      </c>
      <c r="AL15">
        <v>1</v>
      </c>
      <c r="AM15">
        <v>16</v>
      </c>
      <c r="AN15">
        <v>136.83000000000001</v>
      </c>
      <c r="AP15" s="3" t="s">
        <v>51</v>
      </c>
      <c r="AQ15" s="7">
        <f>AA10*SQRT(1+AQ13)</f>
        <v>24827.198402378886</v>
      </c>
    </row>
    <row r="16" spans="1:45" x14ac:dyDescent="0.3">
      <c r="A16">
        <v>76990</v>
      </c>
      <c r="B16">
        <v>8</v>
      </c>
      <c r="C16">
        <v>256</v>
      </c>
      <c r="D16">
        <v>13.3</v>
      </c>
      <c r="E16">
        <v>2560</v>
      </c>
      <c r="F16">
        <v>1600</v>
      </c>
      <c r="G16">
        <v>226.98</v>
      </c>
      <c r="V16">
        <v>76990</v>
      </c>
      <c r="W16">
        <v>8</v>
      </c>
      <c r="X16">
        <v>226.98</v>
      </c>
      <c r="Z16" t="s">
        <v>23</v>
      </c>
      <c r="AA16">
        <v>45</v>
      </c>
      <c r="AB16">
        <v>26229791715.384872</v>
      </c>
      <c r="AC16">
        <v>582884260.34188604</v>
      </c>
      <c r="AL16">
        <v>1</v>
      </c>
      <c r="AM16">
        <v>8</v>
      </c>
      <c r="AN16">
        <v>226.98</v>
      </c>
    </row>
    <row r="17" spans="1:47" ht="16.2" thickBot="1" x14ac:dyDescent="0.4">
      <c r="A17">
        <v>32990</v>
      </c>
      <c r="B17">
        <v>16</v>
      </c>
      <c r="C17">
        <v>512</v>
      </c>
      <c r="D17">
        <v>15.6</v>
      </c>
      <c r="E17">
        <v>1920</v>
      </c>
      <c r="F17">
        <v>1080</v>
      </c>
      <c r="G17">
        <v>141.21</v>
      </c>
      <c r="V17">
        <v>32990</v>
      </c>
      <c r="W17">
        <v>16</v>
      </c>
      <c r="X17">
        <v>141.21</v>
      </c>
      <c r="Z17" s="1" t="s">
        <v>24</v>
      </c>
      <c r="AA17" s="1">
        <v>47</v>
      </c>
      <c r="AB17" s="1">
        <v>91938698466.3125</v>
      </c>
      <c r="AC17" s="1"/>
      <c r="AD17" s="1"/>
      <c r="AE17" s="1"/>
      <c r="AL17">
        <v>1</v>
      </c>
      <c r="AM17">
        <v>16</v>
      </c>
      <c r="AN17">
        <v>141.21</v>
      </c>
      <c r="AP17" s="3" t="s">
        <v>50</v>
      </c>
      <c r="AQ17" s="7">
        <f>TINV(0.05,AA16)*AQ15</f>
        <v>50004.544438648431</v>
      </c>
    </row>
    <row r="18" spans="1:47" ht="15" thickBot="1" x14ac:dyDescent="0.35">
      <c r="A18">
        <v>79899</v>
      </c>
      <c r="B18">
        <v>16</v>
      </c>
      <c r="C18">
        <v>1000</v>
      </c>
      <c r="D18">
        <v>15.6</v>
      </c>
      <c r="E18">
        <v>1920</v>
      </c>
      <c r="F18">
        <v>1080</v>
      </c>
      <c r="G18">
        <v>141.21</v>
      </c>
      <c r="V18">
        <v>79899</v>
      </c>
      <c r="W18">
        <v>16</v>
      </c>
      <c r="X18">
        <v>141.21</v>
      </c>
      <c r="AL18">
        <v>1</v>
      </c>
      <c r="AM18">
        <v>16</v>
      </c>
      <c r="AN18">
        <v>141.21</v>
      </c>
    </row>
    <row r="19" spans="1:47" x14ac:dyDescent="0.3">
      <c r="A19">
        <v>59990</v>
      </c>
      <c r="B19">
        <v>16</v>
      </c>
      <c r="C19">
        <v>512</v>
      </c>
      <c r="D19">
        <v>15.6</v>
      </c>
      <c r="E19">
        <v>1920</v>
      </c>
      <c r="F19">
        <v>1080</v>
      </c>
      <c r="G19">
        <v>141.21</v>
      </c>
      <c r="V19">
        <v>59990</v>
      </c>
      <c r="W19">
        <v>16</v>
      </c>
      <c r="X19">
        <v>141.21</v>
      </c>
      <c r="Z19" s="2"/>
      <c r="AA19" s="2" t="s">
        <v>31</v>
      </c>
      <c r="AB19" s="2" t="s">
        <v>19</v>
      </c>
      <c r="AC19" s="2" t="s">
        <v>32</v>
      </c>
      <c r="AD19" s="2" t="s">
        <v>33</v>
      </c>
      <c r="AE19" s="2" t="s">
        <v>34</v>
      </c>
      <c r="AF19" s="2" t="s">
        <v>35</v>
      </c>
      <c r="AG19" s="2" t="s">
        <v>36</v>
      </c>
      <c r="AH19" s="2" t="s">
        <v>37</v>
      </c>
      <c r="AL19">
        <v>1</v>
      </c>
      <c r="AM19">
        <v>16</v>
      </c>
      <c r="AN19">
        <v>141.21</v>
      </c>
    </row>
    <row r="20" spans="1:47" x14ac:dyDescent="0.3">
      <c r="A20">
        <v>114900</v>
      </c>
      <c r="B20">
        <v>8</v>
      </c>
      <c r="C20">
        <v>256</v>
      </c>
      <c r="D20">
        <v>13.6</v>
      </c>
      <c r="E20">
        <v>2560</v>
      </c>
      <c r="F20">
        <v>1664</v>
      </c>
      <c r="G20">
        <v>224.51</v>
      </c>
      <c r="V20">
        <v>114900</v>
      </c>
      <c r="W20">
        <v>8</v>
      </c>
      <c r="X20">
        <v>224.51</v>
      </c>
      <c r="Z20" t="s">
        <v>25</v>
      </c>
      <c r="AA20">
        <v>-130653.00205349961</v>
      </c>
      <c r="AB20">
        <v>23370.833833199362</v>
      </c>
      <c r="AC20">
        <v>-5.5904296349024962</v>
      </c>
      <c r="AD20">
        <v>1.2608650076729402E-6</v>
      </c>
      <c r="AE20">
        <v>-177724.27767791756</v>
      </c>
      <c r="AF20">
        <v>-83581.726429081653</v>
      </c>
      <c r="AG20">
        <v>-177724.27767791756</v>
      </c>
      <c r="AH20">
        <v>-83581.726429081653</v>
      </c>
      <c r="AL20">
        <v>1</v>
      </c>
      <c r="AM20">
        <v>8</v>
      </c>
      <c r="AN20">
        <v>224.51</v>
      </c>
    </row>
    <row r="21" spans="1:47" ht="15.6" x14ac:dyDescent="0.35">
      <c r="A21">
        <v>36940</v>
      </c>
      <c r="B21">
        <v>8</v>
      </c>
      <c r="C21">
        <v>512</v>
      </c>
      <c r="D21">
        <v>15.6</v>
      </c>
      <c r="E21">
        <v>1920</v>
      </c>
      <c r="F21">
        <v>1080</v>
      </c>
      <c r="G21">
        <v>141.21</v>
      </c>
      <c r="V21">
        <v>36940</v>
      </c>
      <c r="W21">
        <v>8</v>
      </c>
      <c r="X21">
        <v>141.21</v>
      </c>
      <c r="Z21" t="s">
        <v>7</v>
      </c>
      <c r="AA21">
        <v>6141.2581306261991</v>
      </c>
      <c r="AB21">
        <v>732.69212721925851</v>
      </c>
      <c r="AC21">
        <v>8.3817716916568212</v>
      </c>
      <c r="AD21">
        <v>9.6535938325159585E-11</v>
      </c>
      <c r="AE21">
        <v>4665.5404341875746</v>
      </c>
      <c r="AF21">
        <v>7616.9758270648235</v>
      </c>
      <c r="AG21">
        <v>4665.5404341875746</v>
      </c>
      <c r="AH21">
        <v>7616.9758270648235</v>
      </c>
      <c r="AL21">
        <v>1</v>
      </c>
      <c r="AM21">
        <v>8</v>
      </c>
      <c r="AN21">
        <v>141.21</v>
      </c>
      <c r="AP21" s="3" t="s">
        <v>52</v>
      </c>
      <c r="AQ21">
        <f>AR3</f>
        <v>15.6</v>
      </c>
      <c r="AR21" s="3" t="s">
        <v>58</v>
      </c>
      <c r="AS21">
        <f>AVERAGE(W3:W50)</f>
        <v>13</v>
      </c>
      <c r="AT21" s="3" t="s">
        <v>57</v>
      </c>
      <c r="AU21">
        <f>6141.26*AS21/AS23</f>
        <v>1.150716915523726</v>
      </c>
    </row>
    <row r="22" spans="1:47" ht="16.2" thickBot="1" x14ac:dyDescent="0.4">
      <c r="A22">
        <v>53890</v>
      </c>
      <c r="B22">
        <v>8</v>
      </c>
      <c r="C22">
        <v>512</v>
      </c>
      <c r="D22">
        <v>15.6</v>
      </c>
      <c r="E22">
        <v>1920</v>
      </c>
      <c r="F22">
        <v>1080</v>
      </c>
      <c r="G22">
        <v>141.21</v>
      </c>
      <c r="V22">
        <v>53890</v>
      </c>
      <c r="W22">
        <v>8</v>
      </c>
      <c r="X22">
        <v>141.21</v>
      </c>
      <c r="Z22" s="1" t="s">
        <v>13</v>
      </c>
      <c r="AA22" s="1">
        <v>785.83664203913395</v>
      </c>
      <c r="AB22" s="1">
        <v>145.89237425555442</v>
      </c>
      <c r="AC22" s="1">
        <v>5.3864134163901687</v>
      </c>
      <c r="AD22" s="1">
        <v>2.5160670624422335E-6</v>
      </c>
      <c r="AE22" s="1">
        <v>491.99431663914913</v>
      </c>
      <c r="AF22" s="1">
        <v>1079.6789674391189</v>
      </c>
      <c r="AG22" s="1">
        <v>491.99431663914913</v>
      </c>
      <c r="AH22" s="1">
        <v>1079.6789674391189</v>
      </c>
      <c r="AL22">
        <v>1</v>
      </c>
      <c r="AM22">
        <v>8</v>
      </c>
      <c r="AN22">
        <v>141.21</v>
      </c>
      <c r="AP22" s="3" t="s">
        <v>53</v>
      </c>
      <c r="AQ22">
        <f>AS3</f>
        <v>183.54400000000004</v>
      </c>
      <c r="AR22" s="3" t="s">
        <v>59</v>
      </c>
      <c r="AS22">
        <f>AVERAGE(X3:X50)</f>
        <v>152.95333333333338</v>
      </c>
      <c r="AT22" s="3" t="s">
        <v>56</v>
      </c>
      <c r="AU22">
        <f>785.84*AS22/AS23</f>
        <v>1.7324501132506067</v>
      </c>
    </row>
    <row r="23" spans="1:47" ht="15.6" x14ac:dyDescent="0.35">
      <c r="A23">
        <v>33500</v>
      </c>
      <c r="B23">
        <v>8</v>
      </c>
      <c r="C23">
        <v>512</v>
      </c>
      <c r="D23">
        <v>15.6</v>
      </c>
      <c r="E23">
        <v>1920</v>
      </c>
      <c r="F23">
        <v>1080</v>
      </c>
      <c r="G23">
        <v>141.21</v>
      </c>
      <c r="V23">
        <v>33500</v>
      </c>
      <c r="W23">
        <v>8</v>
      </c>
      <c r="X23">
        <v>141.21</v>
      </c>
      <c r="AL23">
        <v>1</v>
      </c>
      <c r="AM23">
        <v>8</v>
      </c>
      <c r="AN23">
        <v>141.21</v>
      </c>
      <c r="AP23" s="3" t="s">
        <v>54</v>
      </c>
      <c r="AQ23">
        <f>-130653+6141*AQ21+786*AQ22</f>
        <v>109412.18400000002</v>
      </c>
      <c r="AR23" s="3" t="s">
        <v>55</v>
      </c>
      <c r="AS23">
        <f>AVERAGE(V3:V50)</f>
        <v>69379.6875</v>
      </c>
    </row>
    <row r="24" spans="1:47" x14ac:dyDescent="0.3">
      <c r="A24">
        <v>69990</v>
      </c>
      <c r="B24">
        <v>16</v>
      </c>
      <c r="C24">
        <v>512</v>
      </c>
      <c r="D24">
        <v>15</v>
      </c>
      <c r="E24">
        <v>1920</v>
      </c>
      <c r="F24">
        <v>1080</v>
      </c>
      <c r="G24">
        <v>146.86000000000001</v>
      </c>
      <c r="V24">
        <v>69990</v>
      </c>
      <c r="W24">
        <v>16</v>
      </c>
      <c r="X24">
        <v>146.86000000000001</v>
      </c>
      <c r="AL24">
        <v>1</v>
      </c>
      <c r="AM24">
        <v>16</v>
      </c>
      <c r="AN24">
        <v>146.86000000000001</v>
      </c>
    </row>
    <row r="25" spans="1:47" x14ac:dyDescent="0.3">
      <c r="A25">
        <v>46890</v>
      </c>
      <c r="B25">
        <v>8</v>
      </c>
      <c r="C25">
        <v>512</v>
      </c>
      <c r="D25">
        <v>16</v>
      </c>
      <c r="E25">
        <v>1920</v>
      </c>
      <c r="F25">
        <v>1200</v>
      </c>
      <c r="G25">
        <v>141.51</v>
      </c>
      <c r="V25">
        <v>46890</v>
      </c>
      <c r="W25">
        <v>8</v>
      </c>
      <c r="X25">
        <v>141.51</v>
      </c>
      <c r="AL25">
        <v>1</v>
      </c>
      <c r="AM25">
        <v>8</v>
      </c>
      <c r="AN25">
        <v>141.51</v>
      </c>
    </row>
    <row r="26" spans="1:47" ht="16.8" x14ac:dyDescent="0.35">
      <c r="A26">
        <v>99900</v>
      </c>
      <c r="B26">
        <v>8</v>
      </c>
      <c r="C26">
        <v>256</v>
      </c>
      <c r="D26">
        <v>13.6</v>
      </c>
      <c r="E26">
        <v>2560</v>
      </c>
      <c r="F26">
        <v>1664</v>
      </c>
      <c r="G26">
        <v>224.51</v>
      </c>
      <c r="V26">
        <v>99900</v>
      </c>
      <c r="W26">
        <v>8</v>
      </c>
      <c r="X26">
        <v>224.51</v>
      </c>
      <c r="Z26" s="3" t="s">
        <v>38</v>
      </c>
      <c r="AA26" s="3" t="s">
        <v>39</v>
      </c>
      <c r="AB26" s="3" t="s">
        <v>42</v>
      </c>
      <c r="AC26">
        <f>_xlfn.T.INV.2T(0.05,AA16)</f>
        <v>2.0141033888808457</v>
      </c>
      <c r="AL26">
        <v>1</v>
      </c>
      <c r="AM26">
        <v>8</v>
      </c>
      <c r="AN26">
        <v>224.51</v>
      </c>
    </row>
    <row r="27" spans="1:47" ht="15.6" x14ac:dyDescent="0.35">
      <c r="A27">
        <v>75990</v>
      </c>
      <c r="B27">
        <v>16</v>
      </c>
      <c r="C27">
        <v>512</v>
      </c>
      <c r="D27">
        <v>15.6</v>
      </c>
      <c r="E27">
        <v>1920</v>
      </c>
      <c r="F27">
        <v>1080</v>
      </c>
      <c r="G27">
        <v>141.21</v>
      </c>
      <c r="V27">
        <v>75990</v>
      </c>
      <c r="W27">
        <v>16</v>
      </c>
      <c r="X27">
        <v>141.21</v>
      </c>
      <c r="Z27" s="3" t="s">
        <v>40</v>
      </c>
      <c r="AA27" s="3" t="s">
        <v>41</v>
      </c>
      <c r="AB27" s="3" t="s">
        <v>43</v>
      </c>
      <c r="AC27">
        <f>_xlfn.F.INV.RT(0.05,AA15,AA16)</f>
        <v>3.2043172921141903</v>
      </c>
      <c r="AL27">
        <v>1</v>
      </c>
      <c r="AM27">
        <v>16</v>
      </c>
      <c r="AN27">
        <v>141.21</v>
      </c>
    </row>
    <row r="28" spans="1:47" x14ac:dyDescent="0.3">
      <c r="A28">
        <v>38990</v>
      </c>
      <c r="B28">
        <v>8</v>
      </c>
      <c r="C28">
        <v>512</v>
      </c>
      <c r="D28">
        <v>14</v>
      </c>
      <c r="E28">
        <v>1920</v>
      </c>
      <c r="F28">
        <v>1080</v>
      </c>
      <c r="G28">
        <v>157.35</v>
      </c>
      <c r="V28">
        <v>38990</v>
      </c>
      <c r="W28">
        <v>8</v>
      </c>
      <c r="X28">
        <v>157.35</v>
      </c>
      <c r="AL28">
        <v>1</v>
      </c>
      <c r="AM28">
        <v>8</v>
      </c>
      <c r="AN28">
        <v>157.35</v>
      </c>
    </row>
    <row r="29" spans="1:47" x14ac:dyDescent="0.3">
      <c r="A29">
        <v>299999</v>
      </c>
      <c r="B29">
        <v>32</v>
      </c>
      <c r="C29">
        <v>1000</v>
      </c>
      <c r="D29">
        <v>16</v>
      </c>
      <c r="E29">
        <v>2880</v>
      </c>
      <c r="F29">
        <v>1800</v>
      </c>
      <c r="G29">
        <v>212.26</v>
      </c>
      <c r="V29">
        <v>299999</v>
      </c>
      <c r="W29">
        <v>32</v>
      </c>
      <c r="X29">
        <v>212.26</v>
      </c>
      <c r="AL29">
        <v>1</v>
      </c>
      <c r="AM29">
        <v>32</v>
      </c>
      <c r="AN29">
        <v>212.26</v>
      </c>
    </row>
    <row r="30" spans="1:47" x14ac:dyDescent="0.3">
      <c r="A30">
        <v>39800</v>
      </c>
      <c r="B30">
        <v>8</v>
      </c>
      <c r="C30">
        <v>512</v>
      </c>
      <c r="D30">
        <v>15.6</v>
      </c>
      <c r="E30">
        <v>1920</v>
      </c>
      <c r="F30">
        <v>1080</v>
      </c>
      <c r="G30">
        <v>141.21</v>
      </c>
      <c r="V30">
        <v>39800</v>
      </c>
      <c r="W30">
        <v>8</v>
      </c>
      <c r="X30">
        <v>141.21</v>
      </c>
      <c r="Z30" s="3"/>
      <c r="AL30">
        <v>1</v>
      </c>
      <c r="AM30">
        <v>8</v>
      </c>
      <c r="AN30">
        <v>141.21</v>
      </c>
    </row>
    <row r="31" spans="1:47" x14ac:dyDescent="0.3">
      <c r="A31">
        <v>44990</v>
      </c>
      <c r="B31">
        <v>8</v>
      </c>
      <c r="C31">
        <v>512</v>
      </c>
      <c r="D31">
        <v>15.6</v>
      </c>
      <c r="E31">
        <v>1920</v>
      </c>
      <c r="F31">
        <v>1080</v>
      </c>
      <c r="G31">
        <v>141.21</v>
      </c>
      <c r="V31">
        <v>44990</v>
      </c>
      <c r="W31">
        <v>8</v>
      </c>
      <c r="X31">
        <v>141.21</v>
      </c>
      <c r="AL31">
        <v>1</v>
      </c>
      <c r="AM31">
        <v>8</v>
      </c>
      <c r="AN31">
        <v>141.21</v>
      </c>
    </row>
    <row r="32" spans="1:47" x14ac:dyDescent="0.3">
      <c r="A32">
        <v>112490</v>
      </c>
      <c r="B32">
        <v>16</v>
      </c>
      <c r="C32">
        <v>1000</v>
      </c>
      <c r="D32">
        <v>16</v>
      </c>
      <c r="E32">
        <v>1920</v>
      </c>
      <c r="F32">
        <v>1200</v>
      </c>
      <c r="G32">
        <v>141.51</v>
      </c>
      <c r="V32">
        <v>112490</v>
      </c>
      <c r="W32">
        <v>16</v>
      </c>
      <c r="X32">
        <v>141.51</v>
      </c>
      <c r="AL32">
        <v>1</v>
      </c>
      <c r="AM32">
        <v>16</v>
      </c>
      <c r="AN32">
        <v>141.51</v>
      </c>
    </row>
    <row r="33" spans="1:40" x14ac:dyDescent="0.3">
      <c r="A33">
        <v>44990</v>
      </c>
      <c r="B33">
        <v>8</v>
      </c>
      <c r="C33">
        <v>512</v>
      </c>
      <c r="D33">
        <v>16.100000000000001</v>
      </c>
      <c r="E33">
        <v>1920</v>
      </c>
      <c r="F33">
        <v>1080</v>
      </c>
      <c r="G33">
        <v>136.83000000000001</v>
      </c>
      <c r="V33">
        <v>44990</v>
      </c>
      <c r="W33">
        <v>8</v>
      </c>
      <c r="X33">
        <v>136.83000000000001</v>
      </c>
      <c r="AL33">
        <v>1</v>
      </c>
      <c r="AM33">
        <v>8</v>
      </c>
      <c r="AN33">
        <v>136.83000000000001</v>
      </c>
    </row>
    <row r="34" spans="1:40" x14ac:dyDescent="0.3">
      <c r="A34">
        <v>61990</v>
      </c>
      <c r="B34">
        <v>16</v>
      </c>
      <c r="C34">
        <v>512</v>
      </c>
      <c r="D34">
        <v>16.100000000000001</v>
      </c>
      <c r="E34">
        <v>1920</v>
      </c>
      <c r="F34">
        <v>1080</v>
      </c>
      <c r="G34">
        <v>136.83000000000001</v>
      </c>
      <c r="V34">
        <v>61990</v>
      </c>
      <c r="W34">
        <v>16</v>
      </c>
      <c r="X34">
        <v>136.83000000000001</v>
      </c>
      <c r="AL34">
        <v>1</v>
      </c>
      <c r="AM34">
        <v>16</v>
      </c>
      <c r="AN34">
        <v>136.83000000000001</v>
      </c>
    </row>
    <row r="35" spans="1:40" x14ac:dyDescent="0.3">
      <c r="A35">
        <v>81990</v>
      </c>
      <c r="B35">
        <v>16</v>
      </c>
      <c r="C35">
        <v>1000</v>
      </c>
      <c r="D35">
        <v>15.6</v>
      </c>
      <c r="E35">
        <v>1920</v>
      </c>
      <c r="F35">
        <v>1080</v>
      </c>
      <c r="G35">
        <v>141.21</v>
      </c>
      <c r="V35">
        <v>81990</v>
      </c>
      <c r="W35">
        <v>16</v>
      </c>
      <c r="X35">
        <v>141.21</v>
      </c>
      <c r="AL35">
        <v>1</v>
      </c>
      <c r="AM35">
        <v>16</v>
      </c>
      <c r="AN35">
        <v>141.21</v>
      </c>
    </row>
    <row r="36" spans="1:40" x14ac:dyDescent="0.3">
      <c r="A36">
        <v>94990</v>
      </c>
      <c r="B36">
        <v>16</v>
      </c>
      <c r="C36">
        <v>512</v>
      </c>
      <c r="D36">
        <v>13.4</v>
      </c>
      <c r="E36">
        <v>1920</v>
      </c>
      <c r="F36">
        <v>1200</v>
      </c>
      <c r="G36">
        <v>168.97</v>
      </c>
      <c r="V36">
        <v>94990</v>
      </c>
      <c r="W36">
        <v>16</v>
      </c>
      <c r="X36">
        <v>168.97</v>
      </c>
      <c r="AL36">
        <v>1</v>
      </c>
      <c r="AM36">
        <v>16</v>
      </c>
      <c r="AN36">
        <v>168.97</v>
      </c>
    </row>
    <row r="37" spans="1:40" x14ac:dyDescent="0.3">
      <c r="A37">
        <v>102499</v>
      </c>
      <c r="B37">
        <v>16</v>
      </c>
      <c r="C37">
        <v>512</v>
      </c>
      <c r="D37">
        <v>15.6</v>
      </c>
      <c r="E37">
        <v>1920</v>
      </c>
      <c r="F37">
        <v>1080</v>
      </c>
      <c r="G37">
        <v>141.21</v>
      </c>
      <c r="V37">
        <v>102499</v>
      </c>
      <c r="W37">
        <v>16</v>
      </c>
      <c r="X37">
        <v>141.21</v>
      </c>
      <c r="AL37">
        <v>1</v>
      </c>
      <c r="AM37">
        <v>16</v>
      </c>
      <c r="AN37">
        <v>141.21</v>
      </c>
    </row>
    <row r="38" spans="1:40" x14ac:dyDescent="0.3">
      <c r="A38">
        <v>69999</v>
      </c>
      <c r="B38">
        <v>16</v>
      </c>
      <c r="C38">
        <v>512</v>
      </c>
      <c r="D38">
        <v>14</v>
      </c>
      <c r="E38">
        <v>1920</v>
      </c>
      <c r="F38">
        <v>1080</v>
      </c>
      <c r="G38">
        <v>157.35</v>
      </c>
      <c r="V38">
        <v>69999</v>
      </c>
      <c r="W38">
        <v>16</v>
      </c>
      <c r="X38">
        <v>157.35</v>
      </c>
      <c r="AL38">
        <v>1</v>
      </c>
      <c r="AM38">
        <v>16</v>
      </c>
      <c r="AN38">
        <v>157.35</v>
      </c>
    </row>
    <row r="39" spans="1:40" x14ac:dyDescent="0.3">
      <c r="A39">
        <v>75990</v>
      </c>
      <c r="B39">
        <v>16</v>
      </c>
      <c r="C39">
        <v>1000</v>
      </c>
      <c r="D39">
        <v>16</v>
      </c>
      <c r="E39">
        <v>1920</v>
      </c>
      <c r="F39">
        <v>1200</v>
      </c>
      <c r="G39">
        <v>141.51</v>
      </c>
      <c r="V39">
        <v>75990</v>
      </c>
      <c r="W39">
        <v>16</v>
      </c>
      <c r="X39">
        <v>141.51</v>
      </c>
      <c r="AL39">
        <v>1</v>
      </c>
      <c r="AM39">
        <v>16</v>
      </c>
      <c r="AN39">
        <v>141.51</v>
      </c>
    </row>
    <row r="40" spans="1:40" x14ac:dyDescent="0.3">
      <c r="A40">
        <v>27990</v>
      </c>
      <c r="B40">
        <v>16</v>
      </c>
      <c r="C40">
        <v>512</v>
      </c>
      <c r="D40">
        <v>15.6</v>
      </c>
      <c r="E40">
        <v>1920</v>
      </c>
      <c r="F40">
        <v>1080</v>
      </c>
      <c r="G40">
        <v>141.21</v>
      </c>
      <c r="V40">
        <v>27990</v>
      </c>
      <c r="W40">
        <v>16</v>
      </c>
      <c r="X40">
        <v>141.21</v>
      </c>
      <c r="AL40">
        <v>1</v>
      </c>
      <c r="AM40">
        <v>16</v>
      </c>
      <c r="AN40">
        <v>141.21</v>
      </c>
    </row>
    <row r="41" spans="1:40" x14ac:dyDescent="0.3">
      <c r="A41">
        <v>94990</v>
      </c>
      <c r="B41">
        <v>16</v>
      </c>
      <c r="C41">
        <v>1000</v>
      </c>
      <c r="D41">
        <v>15.6</v>
      </c>
      <c r="E41">
        <v>1920</v>
      </c>
      <c r="F41">
        <v>1080</v>
      </c>
      <c r="G41">
        <v>141.21</v>
      </c>
      <c r="V41">
        <v>94990</v>
      </c>
      <c r="W41">
        <v>16</v>
      </c>
      <c r="X41">
        <v>141.21</v>
      </c>
      <c r="AL41">
        <v>1</v>
      </c>
      <c r="AM41">
        <v>16</v>
      </c>
      <c r="AN41">
        <v>141.21</v>
      </c>
    </row>
    <row r="42" spans="1:40" x14ac:dyDescent="0.3">
      <c r="A42">
        <v>99990</v>
      </c>
      <c r="B42">
        <v>16</v>
      </c>
      <c r="C42">
        <v>1000</v>
      </c>
      <c r="D42">
        <v>13.4</v>
      </c>
      <c r="E42">
        <v>1920</v>
      </c>
      <c r="F42">
        <v>1200</v>
      </c>
      <c r="G42">
        <v>168.97</v>
      </c>
      <c r="V42">
        <v>99990</v>
      </c>
      <c r="W42">
        <v>16</v>
      </c>
      <c r="X42">
        <v>168.97</v>
      </c>
      <c r="AL42">
        <v>1</v>
      </c>
      <c r="AM42">
        <v>16</v>
      </c>
      <c r="AN42">
        <v>168.97</v>
      </c>
    </row>
    <row r="43" spans="1:40" x14ac:dyDescent="0.3">
      <c r="A43">
        <v>61990</v>
      </c>
      <c r="B43">
        <v>16</v>
      </c>
      <c r="C43">
        <v>512</v>
      </c>
      <c r="D43">
        <v>15.6</v>
      </c>
      <c r="E43">
        <v>1920</v>
      </c>
      <c r="F43">
        <v>1080</v>
      </c>
      <c r="G43">
        <v>141.21</v>
      </c>
      <c r="V43">
        <v>61990</v>
      </c>
      <c r="W43">
        <v>16</v>
      </c>
      <c r="X43">
        <v>141.21</v>
      </c>
      <c r="AL43">
        <v>1</v>
      </c>
      <c r="AM43">
        <v>16</v>
      </c>
      <c r="AN43">
        <v>141.21</v>
      </c>
    </row>
    <row r="44" spans="1:40" x14ac:dyDescent="0.3">
      <c r="A44">
        <v>55200</v>
      </c>
      <c r="B44">
        <v>16</v>
      </c>
      <c r="C44">
        <v>512</v>
      </c>
      <c r="D44">
        <v>16</v>
      </c>
      <c r="E44">
        <v>1920</v>
      </c>
      <c r="F44">
        <v>1200</v>
      </c>
      <c r="G44">
        <v>141.51</v>
      </c>
      <c r="V44">
        <v>55200</v>
      </c>
      <c r="W44">
        <v>16</v>
      </c>
      <c r="X44">
        <v>141.51</v>
      </c>
      <c r="AL44">
        <v>1</v>
      </c>
      <c r="AM44">
        <v>16</v>
      </c>
      <c r="AN44">
        <v>141.51</v>
      </c>
    </row>
    <row r="45" spans="1:40" x14ac:dyDescent="0.3">
      <c r="A45">
        <v>72990</v>
      </c>
      <c r="B45">
        <v>16</v>
      </c>
      <c r="C45">
        <v>512</v>
      </c>
      <c r="D45">
        <v>13.3</v>
      </c>
      <c r="E45">
        <v>1080</v>
      </c>
      <c r="F45">
        <v>1920</v>
      </c>
      <c r="G45">
        <v>165.63</v>
      </c>
      <c r="V45">
        <v>72990</v>
      </c>
      <c r="W45">
        <v>16</v>
      </c>
      <c r="X45">
        <v>165.63</v>
      </c>
      <c r="AL45">
        <v>1</v>
      </c>
      <c r="AM45">
        <v>16</v>
      </c>
      <c r="AN45">
        <v>165.63</v>
      </c>
    </row>
    <row r="46" spans="1:40" x14ac:dyDescent="0.3">
      <c r="A46">
        <v>96999</v>
      </c>
      <c r="B46">
        <v>16</v>
      </c>
      <c r="C46">
        <v>512</v>
      </c>
      <c r="D46">
        <v>14</v>
      </c>
      <c r="E46">
        <v>1920</v>
      </c>
      <c r="F46">
        <v>1200</v>
      </c>
      <c r="G46">
        <v>161.72999999999999</v>
      </c>
      <c r="V46">
        <v>96999</v>
      </c>
      <c r="W46">
        <v>16</v>
      </c>
      <c r="X46">
        <v>161.72999999999999</v>
      </c>
      <c r="AL46">
        <v>1</v>
      </c>
      <c r="AM46">
        <v>16</v>
      </c>
      <c r="AN46">
        <v>161.72999999999999</v>
      </c>
    </row>
    <row r="47" spans="1:40" x14ac:dyDescent="0.3">
      <c r="A47">
        <v>138990</v>
      </c>
      <c r="B47">
        <v>16</v>
      </c>
      <c r="C47">
        <v>1000</v>
      </c>
      <c r="D47">
        <v>16.100000000000001</v>
      </c>
      <c r="E47">
        <v>1920</v>
      </c>
      <c r="F47">
        <v>1080</v>
      </c>
      <c r="G47">
        <v>136.83000000000001</v>
      </c>
      <c r="V47">
        <v>138990</v>
      </c>
      <c r="W47">
        <v>16</v>
      </c>
      <c r="X47">
        <v>136.83000000000001</v>
      </c>
      <c r="AL47">
        <v>1</v>
      </c>
      <c r="AM47">
        <v>16</v>
      </c>
      <c r="AN47">
        <v>136.83000000000001</v>
      </c>
    </row>
    <row r="48" spans="1:40" x14ac:dyDescent="0.3">
      <c r="A48">
        <v>99990</v>
      </c>
      <c r="B48">
        <v>16</v>
      </c>
      <c r="C48">
        <v>1000</v>
      </c>
      <c r="D48">
        <v>15.6</v>
      </c>
      <c r="E48">
        <v>1920</v>
      </c>
      <c r="F48">
        <v>1080</v>
      </c>
      <c r="G48">
        <v>141.21</v>
      </c>
      <c r="V48">
        <v>99990</v>
      </c>
      <c r="W48">
        <v>16</v>
      </c>
      <c r="X48">
        <v>141.21</v>
      </c>
      <c r="AL48">
        <v>1</v>
      </c>
      <c r="AM48">
        <v>16</v>
      </c>
      <c r="AN48">
        <v>141.21</v>
      </c>
    </row>
    <row r="49" spans="1:40" x14ac:dyDescent="0.3">
      <c r="A49">
        <v>64990</v>
      </c>
      <c r="B49">
        <v>16</v>
      </c>
      <c r="C49">
        <v>512</v>
      </c>
      <c r="D49">
        <v>14</v>
      </c>
      <c r="E49">
        <v>2240</v>
      </c>
      <c r="F49">
        <v>1400</v>
      </c>
      <c r="G49">
        <v>188.68</v>
      </c>
      <c r="V49">
        <v>64990</v>
      </c>
      <c r="W49">
        <v>16</v>
      </c>
      <c r="X49">
        <v>188.68</v>
      </c>
      <c r="AL49">
        <v>1</v>
      </c>
      <c r="AM49">
        <v>16</v>
      </c>
      <c r="AN49">
        <v>188.68</v>
      </c>
    </row>
    <row r="50" spans="1:40" x14ac:dyDescent="0.3">
      <c r="A50">
        <v>32990</v>
      </c>
      <c r="B50">
        <v>8</v>
      </c>
      <c r="C50">
        <v>512</v>
      </c>
      <c r="D50">
        <v>15.6</v>
      </c>
      <c r="E50">
        <v>1920</v>
      </c>
      <c r="F50">
        <v>1080</v>
      </c>
      <c r="G50">
        <v>141.21</v>
      </c>
      <c r="V50">
        <v>32990</v>
      </c>
      <c r="W50">
        <v>8</v>
      </c>
      <c r="X50">
        <v>141.21</v>
      </c>
      <c r="AL50">
        <v>1</v>
      </c>
      <c r="AM50">
        <v>8</v>
      </c>
      <c r="AN50">
        <v>141.21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2024-12-10T23:09:32Z</dcterms:created>
  <dcterms:modified xsi:type="dcterms:W3CDTF">2024-12-11T18:43:27Z</dcterms:modified>
</cp:coreProperties>
</file>