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6FDC6FE-42A7-4D60-A591-0B04B68F106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7" i="1" l="1"/>
  <c r="Q26" i="1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3" i="1"/>
  <c r="E50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" i="1"/>
</calcChain>
</file>

<file path=xl/sharedStrings.xml><?xml version="1.0" encoding="utf-8"?>
<sst xmlns="http://schemas.openxmlformats.org/spreadsheetml/2006/main" count="146" uniqueCount="39">
  <si>
    <t>Price</t>
  </si>
  <si>
    <t>ppi</t>
  </si>
  <si>
    <t>y</t>
  </si>
  <si>
    <t>x</t>
  </si>
  <si>
    <t>x^2</t>
  </si>
  <si>
    <t>1/x</t>
  </si>
  <si>
    <t>Iny</t>
  </si>
  <si>
    <t>Inx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</si>
  <si>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</si>
  <si>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</si>
  <si>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</si>
  <si>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</si>
  <si>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</si>
  <si>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</si>
  <si>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</si>
  <si>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</si>
  <si>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</si>
  <si>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</si>
  <si>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</si>
  <si>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</si>
  <si>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</si>
  <si>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</si>
  <si>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</si>
  <si>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</si>
  <si>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</si>
  <si>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</si>
  <si>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</si>
  <si>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</si>
  <si>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</si>
  <si>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</si>
  <si>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</si>
  <si>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</si>
  <si>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Логарифмическое</t>
  </si>
  <si>
    <t>Полиномиальное</t>
  </si>
  <si>
    <t>Степенное</t>
  </si>
  <si>
    <t>Экспоненциальное</t>
  </si>
  <si>
    <t>Гиперболическое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</si>
  <si>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кр</t>
    </r>
    <r>
      <rPr>
        <sz val="11"/>
        <color theme="1"/>
        <rFont val="Calibri"/>
        <family val="2"/>
        <scheme val="minor"/>
      </rPr>
      <t xml:space="preserve"> =</t>
    </r>
  </si>
  <si>
    <t xml:space="preserve">Yпр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</si>
</sst>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Лист1!$B$3:$B$50</c:f>
              <c:numCache>
                <c:formatCode>General</c:formatCode>
                <c:ptCount val="48"/>
                <c:pt idx="0">
                  <c:v>136.83000000000001</c:v>
                </c:pt>
                <c:pt idx="1">
                  <c:v>136.83000000000001</c:v>
                </c:pt>
                <c:pt idx="2">
                  <c:v>136.83000000000001</c:v>
                </c:pt>
                <c:pt idx="3">
                  <c:v>136.83000000000001</c:v>
                </c:pt>
                <c:pt idx="4">
                  <c:v>141.21</c:v>
                </c:pt>
                <c:pt idx="5">
                  <c:v>141.21</c:v>
                </c:pt>
                <c:pt idx="6">
                  <c:v>141.21</c:v>
                </c:pt>
                <c:pt idx="7">
                  <c:v>141.21</c:v>
                </c:pt>
                <c:pt idx="8">
                  <c:v>141.21</c:v>
                </c:pt>
                <c:pt idx="9">
                  <c:v>141.21</c:v>
                </c:pt>
                <c:pt idx="10">
                  <c:v>141.21</c:v>
                </c:pt>
                <c:pt idx="11">
                  <c:v>141.21</c:v>
                </c:pt>
                <c:pt idx="12">
                  <c:v>141.21</c:v>
                </c:pt>
                <c:pt idx="13">
                  <c:v>141.21</c:v>
                </c:pt>
                <c:pt idx="14">
                  <c:v>141.21</c:v>
                </c:pt>
                <c:pt idx="15">
                  <c:v>141.21</c:v>
                </c:pt>
                <c:pt idx="16">
                  <c:v>141.21</c:v>
                </c:pt>
                <c:pt idx="17">
                  <c:v>141.21</c:v>
                </c:pt>
                <c:pt idx="18">
                  <c:v>141.21</c:v>
                </c:pt>
                <c:pt idx="19">
                  <c:v>141.21</c:v>
                </c:pt>
                <c:pt idx="20">
                  <c:v>141.21</c:v>
                </c:pt>
                <c:pt idx="21">
                  <c:v>141.21</c:v>
                </c:pt>
                <c:pt idx="22">
                  <c:v>141.21</c:v>
                </c:pt>
                <c:pt idx="23">
                  <c:v>141.21</c:v>
                </c:pt>
                <c:pt idx="24">
                  <c:v>141.21</c:v>
                </c:pt>
                <c:pt idx="25">
                  <c:v>141.21</c:v>
                </c:pt>
                <c:pt idx="26">
                  <c:v>141.21</c:v>
                </c:pt>
                <c:pt idx="27">
                  <c:v>141.21</c:v>
                </c:pt>
                <c:pt idx="28">
                  <c:v>141.21</c:v>
                </c:pt>
                <c:pt idx="29">
                  <c:v>141.21</c:v>
                </c:pt>
                <c:pt idx="30">
                  <c:v>141.51</c:v>
                </c:pt>
                <c:pt idx="31">
                  <c:v>141.51</c:v>
                </c:pt>
                <c:pt idx="32">
                  <c:v>141.51</c:v>
                </c:pt>
                <c:pt idx="33">
                  <c:v>141.51</c:v>
                </c:pt>
                <c:pt idx="34">
                  <c:v>146.86000000000001</c:v>
                </c:pt>
                <c:pt idx="35">
                  <c:v>157.35</c:v>
                </c:pt>
                <c:pt idx="36">
                  <c:v>157.35</c:v>
                </c:pt>
                <c:pt idx="37">
                  <c:v>161.72999999999999</c:v>
                </c:pt>
                <c:pt idx="38">
                  <c:v>165.63</c:v>
                </c:pt>
                <c:pt idx="39">
                  <c:v>165.63</c:v>
                </c:pt>
                <c:pt idx="40">
                  <c:v>168.97</c:v>
                </c:pt>
                <c:pt idx="41">
                  <c:v>168.97</c:v>
                </c:pt>
                <c:pt idx="42">
                  <c:v>187.51</c:v>
                </c:pt>
                <c:pt idx="43">
                  <c:v>188.68</c:v>
                </c:pt>
                <c:pt idx="44">
                  <c:v>212.26</c:v>
                </c:pt>
                <c:pt idx="45">
                  <c:v>224.51</c:v>
                </c:pt>
                <c:pt idx="46">
                  <c:v>224.51</c:v>
                </c:pt>
                <c:pt idx="47">
                  <c:v>226.98</c:v>
                </c:pt>
              </c:numCache>
            </c:numRef>
          </c:xVal>
          <c:yVal>
            <c:numRef>
              <c:f>Лист1!$A$3:$A$50</c:f>
              <c:numCache>
                <c:formatCode>General</c:formatCode>
                <c:ptCount val="48"/>
                <c:pt idx="0">
                  <c:v>81990</c:v>
                </c:pt>
                <c:pt idx="1">
                  <c:v>44990</c:v>
                </c:pt>
                <c:pt idx="2">
                  <c:v>61990</c:v>
                </c:pt>
                <c:pt idx="3">
                  <c:v>138990</c:v>
                </c:pt>
                <c:pt idx="4">
                  <c:v>50399</c:v>
                </c:pt>
                <c:pt idx="5">
                  <c:v>26690</c:v>
                </c:pt>
                <c:pt idx="6">
                  <c:v>37012</c:v>
                </c:pt>
                <c:pt idx="7">
                  <c:v>23990</c:v>
                </c:pt>
                <c:pt idx="8">
                  <c:v>42990</c:v>
                </c:pt>
                <c:pt idx="9">
                  <c:v>33780</c:v>
                </c:pt>
                <c:pt idx="10">
                  <c:v>54990</c:v>
                </c:pt>
                <c:pt idx="11">
                  <c:v>55980</c:v>
                </c:pt>
                <c:pt idx="12">
                  <c:v>24990</c:v>
                </c:pt>
                <c:pt idx="13">
                  <c:v>26739</c:v>
                </c:pt>
                <c:pt idx="14">
                  <c:v>32990</c:v>
                </c:pt>
                <c:pt idx="15">
                  <c:v>79899</c:v>
                </c:pt>
                <c:pt idx="16">
                  <c:v>59990</c:v>
                </c:pt>
                <c:pt idx="17">
                  <c:v>36940</c:v>
                </c:pt>
                <c:pt idx="18">
                  <c:v>53890</c:v>
                </c:pt>
                <c:pt idx="19">
                  <c:v>33500</c:v>
                </c:pt>
                <c:pt idx="20">
                  <c:v>75990</c:v>
                </c:pt>
                <c:pt idx="21">
                  <c:v>39800</c:v>
                </c:pt>
                <c:pt idx="22">
                  <c:v>44990</c:v>
                </c:pt>
                <c:pt idx="23">
                  <c:v>81990</c:v>
                </c:pt>
                <c:pt idx="24">
                  <c:v>102499</c:v>
                </c:pt>
                <c:pt idx="25">
                  <c:v>27990</c:v>
                </c:pt>
                <c:pt idx="26">
                  <c:v>94990</c:v>
                </c:pt>
                <c:pt idx="27">
                  <c:v>61990</c:v>
                </c:pt>
                <c:pt idx="28">
                  <c:v>99990</c:v>
                </c:pt>
                <c:pt idx="29">
                  <c:v>32990</c:v>
                </c:pt>
                <c:pt idx="30">
                  <c:v>46890</c:v>
                </c:pt>
                <c:pt idx="31">
                  <c:v>112490</c:v>
                </c:pt>
                <c:pt idx="32">
                  <c:v>35799</c:v>
                </c:pt>
                <c:pt idx="33">
                  <c:v>58200</c:v>
                </c:pt>
                <c:pt idx="34">
                  <c:v>67990</c:v>
                </c:pt>
                <c:pt idx="35">
                  <c:v>73999</c:v>
                </c:pt>
                <c:pt idx="36">
                  <c:v>69990</c:v>
                </c:pt>
                <c:pt idx="37">
                  <c:v>75990</c:v>
                </c:pt>
                <c:pt idx="38">
                  <c:v>79990</c:v>
                </c:pt>
                <c:pt idx="39">
                  <c:v>84990</c:v>
                </c:pt>
                <c:pt idx="40">
                  <c:v>93990</c:v>
                </c:pt>
                <c:pt idx="41">
                  <c:v>99900</c:v>
                </c:pt>
                <c:pt idx="42">
                  <c:v>96999</c:v>
                </c:pt>
                <c:pt idx="43">
                  <c:v>99990</c:v>
                </c:pt>
                <c:pt idx="44">
                  <c:v>94990</c:v>
                </c:pt>
                <c:pt idx="45">
                  <c:v>102990</c:v>
                </c:pt>
                <c:pt idx="46">
                  <c:v>114900</c:v>
                </c:pt>
                <c:pt idx="47">
                  <c:v>250130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E-467F-8265-6B758721B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295583"/>
        <c:axId val="583294751"/>
      </c:scatterChart>
      <c:valAx>
        <c:axId val="58329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3294751"/>
        <c:crosses val="autoZero"/>
        <c:crossBetween val="midCat"/>
      </c:valAx>
      <c:valAx>
        <c:axId val="58329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329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601980</xdr:colOff>
      <xdr:row>3</xdr:row>
      <xdr:rowOff>7620</xdr:rowOff>
    </xdr:from>
    <xdr:to>
      <xdr:col>17</xdr:col>
      <xdr:colOff>297180</xdr:colOff>
      <xdr:row>18</xdr:row>
      <xdr:rowOff>7620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90F3A72-0231-4DB1-AB5E-38CF08365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7"/>
  <sheetViews>
    <sheetView tabSelected="1" topLeftCell="H7" workbookViewId="0">
      <selection activeCell="Q27" sqref="Q27"/>
    </sheetView>
  </sheetViews>
  <sheetFormatPr defaultRowHeight="14.4" x14ac:dyDescent="0.3"/>
  <cols>
    <col min="20" max="39" width="12.77734375" customWidth="1"/>
  </cols>
  <sheetData>
    <row r="1" spans="1:36" x14ac:dyDescent="0.3">
      <c r="A1" t="s">
        <v>0</v>
      </c>
      <c r="B1" t="s">
        <v>1</v>
      </c>
    </row>
    <row r="2" spans="1:36" x14ac:dyDescent="0.3">
      <c r="A2" s="1" t="s">
        <v>2</v>
      </c>
      <c r="B2" s="2" t="s">
        <v>3</v>
      </c>
      <c r="C2" t="s">
        <v>4</v>
      </c>
      <c r="D2" t="s">
        <v>5</v>
      </c>
      <c r="E2" t="s">
        <v>6</v>
      </c>
      <c r="F2" t="s">
        <v>7</v>
      </c>
    </row>
    <row r="3" spans="1:36" x14ac:dyDescent="0.3">
      <c r="A3" s="1">
        <v>81990</v>
      </c>
      <c r="B3" s="1">
        <v>136.83000000000001</v>
      </c>
      <c r="C3">
        <f>B3^2</f>
        <v>18722.448900000003</v>
      </c>
      <c r="D3">
        <f>1/B3</f>
        <v>7.3083388145874437E-3</v>
      </c>
      <c r="E3">
        <f>LN(A3)</f>
        <v>11.314352567590223</v>
      </c>
      <c r="F3">
        <f>LN(B3)</f>
        <v>4.9187392793917191</v>
      </c>
      <c r="T3" s="7" t="s">
        <v>32</v>
      </c>
      <c r="AE3" t="s">
        <v>34</v>
      </c>
    </row>
    <row r="4" spans="1:36" x14ac:dyDescent="0.3">
      <c r="A4" s="1">
        <v>44990</v>
      </c>
      <c r="B4" s="1">
        <v>136.83000000000001</v>
      </c>
      <c r="C4">
        <f t="shared" ref="C4:C50" si="0">B4^2</f>
        <v>18722.448900000003</v>
      </c>
      <c r="D4">
        <f t="shared" ref="D4:D50" si="1">1/B4</f>
        <v>7.3083388145874437E-3</v>
      </c>
      <c r="E4">
        <f t="shared" ref="E4:E49" si="2">LN(A4)</f>
        <v>10.714195521835219</v>
      </c>
      <c r="F4">
        <f t="shared" ref="F4:F50" si="3">LN(B4)</f>
        <v>4.9187392793917191</v>
      </c>
      <c r="T4" t="s">
        <v>8</v>
      </c>
      <c r="AE4" t="s">
        <v>8</v>
      </c>
    </row>
    <row r="5" spans="1:36" ht="15" thickBot="1" x14ac:dyDescent="0.35">
      <c r="A5" s="1">
        <v>61990</v>
      </c>
      <c r="B5" s="1">
        <v>136.83000000000001</v>
      </c>
      <c r="C5">
        <f t="shared" si="0"/>
        <v>18722.448900000003</v>
      </c>
      <c r="D5">
        <f t="shared" si="1"/>
        <v>7.3083388145874437E-3</v>
      </c>
      <c r="E5">
        <f t="shared" si="2"/>
        <v>11.034728360695965</v>
      </c>
      <c r="F5">
        <f t="shared" si="3"/>
        <v>4.9187392793917191</v>
      </c>
    </row>
    <row r="6" spans="1:36" x14ac:dyDescent="0.3">
      <c r="A6" s="1">
        <v>138990</v>
      </c>
      <c r="B6" s="1">
        <v>136.83000000000001</v>
      </c>
      <c r="C6">
        <f t="shared" si="0"/>
        <v>18722.448900000003</v>
      </c>
      <c r="D6">
        <f t="shared" si="1"/>
        <v>7.3083388145874437E-3</v>
      </c>
      <c r="E6">
        <f t="shared" si="2"/>
        <v>11.842157267078804</v>
      </c>
      <c r="F6">
        <f t="shared" si="3"/>
        <v>4.9187392793917191</v>
      </c>
      <c r="T6" s="6" t="s">
        <v>9</v>
      </c>
      <c r="U6" s="6"/>
      <c r="AE6" s="6" t="s">
        <v>9</v>
      </c>
      <c r="AF6" s="6"/>
    </row>
    <row r="7" spans="1:36" x14ac:dyDescent="0.3">
      <c r="A7" s="1">
        <v>50399</v>
      </c>
      <c r="B7" s="1">
        <v>141.21</v>
      </c>
      <c r="C7">
        <f t="shared" si="0"/>
        <v>19940.264100000004</v>
      </c>
      <c r="D7">
        <f t="shared" si="1"/>
        <v>7.0816514411160677E-3</v>
      </c>
      <c r="E7">
        <f t="shared" si="2"/>
        <v>10.827726612592778</v>
      </c>
      <c r="F7">
        <f t="shared" si="3"/>
        <v>4.9502481440811605</v>
      </c>
      <c r="T7" s="3" t="s">
        <v>10</v>
      </c>
      <c r="U7" s="3">
        <v>0.63538096196211113</v>
      </c>
      <c r="AE7" s="3" t="s">
        <v>10</v>
      </c>
      <c r="AF7" s="3">
        <v>0.58349427228370465</v>
      </c>
    </row>
    <row r="8" spans="1:36" x14ac:dyDescent="0.3">
      <c r="A8" s="1">
        <v>26690</v>
      </c>
      <c r="B8" s="1">
        <v>141.21</v>
      </c>
      <c r="C8">
        <f t="shared" si="0"/>
        <v>19940.264100000004</v>
      </c>
      <c r="D8">
        <f t="shared" si="1"/>
        <v>7.0816514411160677E-3</v>
      </c>
      <c r="E8">
        <f t="shared" si="2"/>
        <v>10.19204424239857</v>
      </c>
      <c r="F8">
        <f t="shared" si="3"/>
        <v>4.9502481440811605</v>
      </c>
      <c r="T8" s="3" t="s">
        <v>11</v>
      </c>
      <c r="U8" s="3">
        <v>0.40370896682389767</v>
      </c>
      <c r="AE8" s="3" t="s">
        <v>11</v>
      </c>
      <c r="AF8" s="3">
        <v>0.34046556578789</v>
      </c>
    </row>
    <row r="9" spans="1:36" x14ac:dyDescent="0.3">
      <c r="A9" s="1">
        <v>37012</v>
      </c>
      <c r="B9" s="1">
        <v>141.21</v>
      </c>
      <c r="C9">
        <f t="shared" si="0"/>
        <v>19940.264100000004</v>
      </c>
      <c r="D9">
        <f t="shared" si="1"/>
        <v>7.0816514411160677E-3</v>
      </c>
      <c r="E9">
        <f t="shared" si="2"/>
        <v>10.518997463368921</v>
      </c>
      <c r="F9">
        <f t="shared" si="3"/>
        <v>4.9502481440811605</v>
      </c>
      <c r="T9" s="3" t="s">
        <v>12</v>
      </c>
      <c r="U9" s="3">
        <v>0.39074611827659111</v>
      </c>
      <c r="AE9" s="3" t="s">
        <v>12</v>
      </c>
      <c r="AF9" s="3">
        <v>0.32612786069632238</v>
      </c>
    </row>
    <row r="10" spans="1:36" x14ac:dyDescent="0.3">
      <c r="A10" s="1">
        <v>23990</v>
      </c>
      <c r="B10" s="1">
        <v>141.21</v>
      </c>
      <c r="C10">
        <f t="shared" si="0"/>
        <v>19940.264100000004</v>
      </c>
      <c r="D10">
        <f t="shared" si="1"/>
        <v>7.0816514411160677E-3</v>
      </c>
      <c r="E10">
        <f t="shared" si="2"/>
        <v>10.08539235583374</v>
      </c>
      <c r="F10">
        <f t="shared" si="3"/>
        <v>4.9502481440811605</v>
      </c>
      <c r="T10" s="3" t="s">
        <v>13</v>
      </c>
      <c r="U10" s="3">
        <v>30644.852483120128</v>
      </c>
      <c r="AE10" s="3" t="s">
        <v>13</v>
      </c>
      <c r="AF10" s="3">
        <v>0.42551173516774304</v>
      </c>
    </row>
    <row r="11" spans="1:36" ht="15" thickBot="1" x14ac:dyDescent="0.35">
      <c r="A11" s="1">
        <v>42990</v>
      </c>
      <c r="B11" s="1">
        <v>141.21</v>
      </c>
      <c r="C11">
        <f t="shared" si="0"/>
        <v>19940.264100000004</v>
      </c>
      <c r="D11">
        <f t="shared" si="1"/>
        <v>7.0816514411160677E-3</v>
      </c>
      <c r="E11">
        <f t="shared" si="2"/>
        <v>10.668722809490328</v>
      </c>
      <c r="F11">
        <f t="shared" si="3"/>
        <v>4.9502481440811605</v>
      </c>
      <c r="T11" s="4" t="s">
        <v>14</v>
      </c>
      <c r="U11" s="4">
        <v>48</v>
      </c>
      <c r="AE11" s="4" t="s">
        <v>14</v>
      </c>
      <c r="AF11" s="4">
        <v>48</v>
      </c>
    </row>
    <row r="12" spans="1:36" x14ac:dyDescent="0.3">
      <c r="A12" s="1">
        <v>33780</v>
      </c>
      <c r="B12" s="1">
        <v>141.21</v>
      </c>
      <c r="C12">
        <f t="shared" si="0"/>
        <v>19940.264100000004</v>
      </c>
      <c r="D12">
        <f t="shared" si="1"/>
        <v>7.0816514411160677E-3</v>
      </c>
      <c r="E12">
        <f t="shared" si="2"/>
        <v>10.427624190361792</v>
      </c>
      <c r="F12">
        <f t="shared" si="3"/>
        <v>4.9502481440811605</v>
      </c>
    </row>
    <row r="13" spans="1:36" ht="15" thickBot="1" x14ac:dyDescent="0.35">
      <c r="A13" s="1">
        <v>54990</v>
      </c>
      <c r="B13" s="1">
        <v>141.21</v>
      </c>
      <c r="C13">
        <f t="shared" si="0"/>
        <v>19940.264100000004</v>
      </c>
      <c r="D13">
        <f t="shared" si="1"/>
        <v>7.0816514411160677E-3</v>
      </c>
      <c r="E13">
        <f t="shared" si="2"/>
        <v>10.914906629501861</v>
      </c>
      <c r="F13">
        <f t="shared" si="3"/>
        <v>4.9502481440811605</v>
      </c>
      <c r="T13" t="s">
        <v>15</v>
      </c>
      <c r="AE13" t="s">
        <v>15</v>
      </c>
    </row>
    <row r="14" spans="1:36" x14ac:dyDescent="0.3">
      <c r="A14" s="1">
        <v>55980</v>
      </c>
      <c r="B14" s="1">
        <v>141.21</v>
      </c>
      <c r="C14">
        <f t="shared" si="0"/>
        <v>19940.264100000004</v>
      </c>
      <c r="D14">
        <f t="shared" si="1"/>
        <v>7.0816514411160677E-3</v>
      </c>
      <c r="E14">
        <f t="shared" si="2"/>
        <v>10.932749763069445</v>
      </c>
      <c r="F14">
        <f t="shared" si="3"/>
        <v>4.9502481440811605</v>
      </c>
      <c r="T14" s="5"/>
      <c r="U14" s="5" t="s">
        <v>20</v>
      </c>
      <c r="V14" s="5" t="s">
        <v>21</v>
      </c>
      <c r="W14" s="5" t="s">
        <v>22</v>
      </c>
      <c r="X14" s="5" t="s">
        <v>23</v>
      </c>
      <c r="Y14" s="5" t="s">
        <v>24</v>
      </c>
      <c r="AE14" s="5"/>
      <c r="AF14" s="5" t="s">
        <v>20</v>
      </c>
      <c r="AG14" s="5" t="s">
        <v>21</v>
      </c>
      <c r="AH14" s="5" t="s">
        <v>22</v>
      </c>
      <c r="AI14" s="5" t="s">
        <v>23</v>
      </c>
      <c r="AJ14" s="5" t="s">
        <v>24</v>
      </c>
    </row>
    <row r="15" spans="1:36" x14ac:dyDescent="0.3">
      <c r="A15" s="1">
        <v>24990</v>
      </c>
      <c r="B15" s="1">
        <v>141.21</v>
      </c>
      <c r="C15">
        <f t="shared" si="0"/>
        <v>19940.264100000004</v>
      </c>
      <c r="D15">
        <f t="shared" si="1"/>
        <v>7.0816514411160677E-3</v>
      </c>
      <c r="E15">
        <f t="shared" si="2"/>
        <v>10.126231023828998</v>
      </c>
      <c r="F15">
        <f t="shared" si="3"/>
        <v>4.9502481440811605</v>
      </c>
      <c r="T15" s="3" t="s">
        <v>16</v>
      </c>
      <c r="U15" s="3">
        <v>1</v>
      </c>
      <c r="V15" s="3">
        <v>29247114069.718239</v>
      </c>
      <c r="W15" s="3">
        <v>29247114069.718239</v>
      </c>
      <c r="X15" s="3">
        <v>31.143538038773162</v>
      </c>
      <c r="Y15" s="3">
        <v>1.2252014744838335E-6</v>
      </c>
      <c r="AE15" s="3" t="s">
        <v>16</v>
      </c>
      <c r="AF15" s="3">
        <v>1</v>
      </c>
      <c r="AG15" s="3">
        <v>4.2994869512484115</v>
      </c>
      <c r="AH15" s="3">
        <v>4.2994869512484115</v>
      </c>
      <c r="AI15" s="3">
        <v>23.746168833401864</v>
      </c>
      <c r="AJ15" s="3">
        <v>1.3444232762236387E-5</v>
      </c>
    </row>
    <row r="16" spans="1:36" x14ac:dyDescent="0.3">
      <c r="A16" s="1">
        <v>26739</v>
      </c>
      <c r="B16" s="1">
        <v>141.21</v>
      </c>
      <c r="C16">
        <f t="shared" si="0"/>
        <v>19940.264100000004</v>
      </c>
      <c r="D16">
        <f t="shared" si="1"/>
        <v>7.0816514411160677E-3</v>
      </c>
      <c r="E16">
        <f t="shared" si="2"/>
        <v>10.193878452798828</v>
      </c>
      <c r="F16">
        <f t="shared" si="3"/>
        <v>4.9502481440811605</v>
      </c>
      <c r="T16" s="3" t="s">
        <v>17</v>
      </c>
      <c r="U16" s="3">
        <v>46</v>
      </c>
      <c r="V16" s="3">
        <v>43198921250.760918</v>
      </c>
      <c r="W16" s="3">
        <v>939106983.71219385</v>
      </c>
      <c r="X16" s="3"/>
      <c r="Y16" s="3"/>
      <c r="AE16" s="3" t="s">
        <v>17</v>
      </c>
      <c r="AF16" s="3">
        <v>46</v>
      </c>
      <c r="AG16" s="3">
        <v>8.3287708912113203</v>
      </c>
      <c r="AH16" s="3">
        <v>0.18106023676546348</v>
      </c>
      <c r="AI16" s="3"/>
      <c r="AJ16" s="3"/>
    </row>
    <row r="17" spans="1:39" ht="15" thickBot="1" x14ac:dyDescent="0.35">
      <c r="A17" s="1">
        <v>32990</v>
      </c>
      <c r="B17" s="1">
        <v>141.21</v>
      </c>
      <c r="C17">
        <f t="shared" si="0"/>
        <v>19940.264100000004</v>
      </c>
      <c r="D17">
        <f t="shared" si="1"/>
        <v>7.0816514411160677E-3</v>
      </c>
      <c r="E17">
        <f t="shared" si="2"/>
        <v>10.403959764222627</v>
      </c>
      <c r="F17">
        <f t="shared" si="3"/>
        <v>4.9502481440811605</v>
      </c>
      <c r="T17" s="4" t="s">
        <v>18</v>
      </c>
      <c r="U17" s="4">
        <v>47</v>
      </c>
      <c r="V17" s="4">
        <v>72446035320.479156</v>
      </c>
      <c r="W17" s="4"/>
      <c r="X17" s="4"/>
      <c r="Y17" s="4"/>
      <c r="AE17" s="4" t="s">
        <v>18</v>
      </c>
      <c r="AF17" s="4">
        <v>47</v>
      </c>
      <c r="AG17" s="4">
        <v>12.628257842459732</v>
      </c>
      <c r="AH17" s="4"/>
      <c r="AI17" s="4"/>
      <c r="AJ17" s="4"/>
    </row>
    <row r="18" spans="1:39" ht="15" thickBot="1" x14ac:dyDescent="0.35">
      <c r="A18" s="1">
        <v>79899</v>
      </c>
      <c r="B18" s="1">
        <v>141.21</v>
      </c>
      <c r="C18">
        <f t="shared" si="0"/>
        <v>19940.264100000004</v>
      </c>
      <c r="D18">
        <f t="shared" si="1"/>
        <v>7.0816514411160677E-3</v>
      </c>
      <c r="E18">
        <f t="shared" si="2"/>
        <v>11.288518616031489</v>
      </c>
      <c r="F18">
        <f t="shared" si="3"/>
        <v>4.9502481440811605</v>
      </c>
    </row>
    <row r="19" spans="1:39" x14ac:dyDescent="0.3">
      <c r="A19" s="1">
        <v>59990</v>
      </c>
      <c r="B19" s="1">
        <v>141.21</v>
      </c>
      <c r="C19">
        <f t="shared" si="0"/>
        <v>19940.264100000004</v>
      </c>
      <c r="D19">
        <f t="shared" si="1"/>
        <v>7.0816514411160677E-3</v>
      </c>
      <c r="E19">
        <f t="shared" si="2"/>
        <v>11.001933160647139</v>
      </c>
      <c r="F19">
        <f t="shared" si="3"/>
        <v>4.9502481440811605</v>
      </c>
      <c r="T19" s="5"/>
      <c r="U19" s="5" t="s">
        <v>25</v>
      </c>
      <c r="V19" s="5" t="s">
        <v>13</v>
      </c>
      <c r="W19" s="5" t="s">
        <v>26</v>
      </c>
      <c r="X19" s="5" t="s">
        <v>27</v>
      </c>
      <c r="Y19" s="5" t="s">
        <v>28</v>
      </c>
      <c r="Z19" s="5" t="s">
        <v>29</v>
      </c>
      <c r="AA19" s="5" t="s">
        <v>30</v>
      </c>
      <c r="AB19" s="5" t="s">
        <v>31</v>
      </c>
      <c r="AE19" s="5"/>
      <c r="AF19" s="5" t="s">
        <v>25</v>
      </c>
      <c r="AG19" s="5" t="s">
        <v>13</v>
      </c>
      <c r="AH19" s="5" t="s">
        <v>26</v>
      </c>
      <c r="AI19" s="5" t="s">
        <v>27</v>
      </c>
      <c r="AJ19" s="5" t="s">
        <v>28</v>
      </c>
      <c r="AK19" s="5" t="s">
        <v>29</v>
      </c>
      <c r="AL19" s="5" t="s">
        <v>30</v>
      </c>
      <c r="AM19" s="5" t="s">
        <v>31</v>
      </c>
    </row>
    <row r="20" spans="1:39" x14ac:dyDescent="0.3">
      <c r="A20" s="1">
        <v>36940</v>
      </c>
      <c r="B20" s="1">
        <v>141.21</v>
      </c>
      <c r="C20">
        <f t="shared" si="0"/>
        <v>19940.264100000004</v>
      </c>
      <c r="D20">
        <f t="shared" si="1"/>
        <v>7.0816514411160677E-3</v>
      </c>
      <c r="E20">
        <f t="shared" si="2"/>
        <v>10.517050253753231</v>
      </c>
      <c r="F20">
        <f t="shared" si="3"/>
        <v>4.9502481440811605</v>
      </c>
      <c r="T20" s="3" t="s">
        <v>19</v>
      </c>
      <c r="U20" s="3">
        <v>-827295.27359804185</v>
      </c>
      <c r="V20" s="3">
        <v>160721.741174756</v>
      </c>
      <c r="W20" s="3">
        <v>-5.1473762513467731</v>
      </c>
      <c r="X20" s="3">
        <v>5.3519460730816126E-6</v>
      </c>
      <c r="Y20" s="3">
        <v>-1150811.3590593759</v>
      </c>
      <c r="Z20" s="3">
        <v>-503779.18813670776</v>
      </c>
      <c r="AA20" s="3">
        <v>-1150811.3590593759</v>
      </c>
      <c r="AB20" s="3">
        <v>-503779.18813670776</v>
      </c>
      <c r="AE20" s="3" t="s">
        <v>19</v>
      </c>
      <c r="AF20" s="3">
        <v>0.14230717397654047</v>
      </c>
      <c r="AG20" s="3">
        <v>2.231663115497831</v>
      </c>
      <c r="AH20" s="3">
        <v>6.3767319085163587E-2</v>
      </c>
      <c r="AI20" s="3">
        <v>0.949431802183208</v>
      </c>
      <c r="AJ20" s="3">
        <v>-4.3497976894798667</v>
      </c>
      <c r="AK20" s="3">
        <v>4.6344120374329476</v>
      </c>
      <c r="AL20" s="3">
        <v>-4.3497976894798667</v>
      </c>
      <c r="AM20" s="3">
        <v>4.6344120374329476</v>
      </c>
    </row>
    <row r="21" spans="1:39" ht="15" thickBot="1" x14ac:dyDescent="0.35">
      <c r="A21" s="1">
        <v>53890</v>
      </c>
      <c r="B21" s="1">
        <v>141.21</v>
      </c>
      <c r="C21">
        <f t="shared" si="0"/>
        <v>19940.264100000004</v>
      </c>
      <c r="D21">
        <f t="shared" si="1"/>
        <v>7.0816514411160677E-3</v>
      </c>
      <c r="E21">
        <f t="shared" si="2"/>
        <v>10.894700210927542</v>
      </c>
      <c r="F21">
        <f t="shared" si="3"/>
        <v>4.9502481440811605</v>
      </c>
      <c r="T21" s="4" t="s">
        <v>7</v>
      </c>
      <c r="U21" s="4">
        <v>178613.59539765242</v>
      </c>
      <c r="V21" s="4">
        <v>32005.936429945636</v>
      </c>
      <c r="W21" s="4">
        <v>5.5806395725555653</v>
      </c>
      <c r="X21" s="4">
        <v>1.2252014744838292E-6</v>
      </c>
      <c r="Y21" s="4">
        <v>114188.9868185198</v>
      </c>
      <c r="Z21" s="4">
        <v>243038.20397678504</v>
      </c>
      <c r="AA21" s="4">
        <v>114188.9868185198</v>
      </c>
      <c r="AB21" s="4">
        <v>243038.20397678504</v>
      </c>
      <c r="AE21" s="4" t="s">
        <v>7</v>
      </c>
      <c r="AF21" s="4">
        <v>2.1656153486988705</v>
      </c>
      <c r="AG21" s="4">
        <v>0.44441073924164726</v>
      </c>
      <c r="AH21" s="4">
        <v>4.873004087152184</v>
      </c>
      <c r="AI21" s="4">
        <v>1.3444232762236245E-5</v>
      </c>
      <c r="AJ21" s="4">
        <v>1.2710629275668284</v>
      </c>
      <c r="AK21" s="4">
        <v>3.0601677698309127</v>
      </c>
      <c r="AL21" s="4">
        <v>1.2710629275668284</v>
      </c>
      <c r="AM21" s="4">
        <v>3.0601677698309127</v>
      </c>
    </row>
    <row r="22" spans="1:39" x14ac:dyDescent="0.3">
      <c r="A22" s="1">
        <v>33500</v>
      </c>
      <c r="B22" s="1">
        <v>141.21</v>
      </c>
      <c r="C22">
        <f t="shared" si="0"/>
        <v>19940.264100000004</v>
      </c>
      <c r="D22">
        <f t="shared" si="1"/>
        <v>7.0816514411160677E-3</v>
      </c>
      <c r="E22">
        <f t="shared" si="2"/>
        <v>10.419300717813158</v>
      </c>
      <c r="F22">
        <f t="shared" si="3"/>
        <v>4.9502481440811605</v>
      </c>
    </row>
    <row r="23" spans="1:39" x14ac:dyDescent="0.3">
      <c r="A23" s="1">
        <v>75990</v>
      </c>
      <c r="B23" s="1">
        <v>141.21</v>
      </c>
      <c r="C23">
        <f t="shared" si="0"/>
        <v>19940.264100000004</v>
      </c>
      <c r="D23">
        <f t="shared" si="1"/>
        <v>7.0816514411160677E-3</v>
      </c>
      <c r="E23">
        <f t="shared" si="2"/>
        <v>11.238357031663831</v>
      </c>
      <c r="F23">
        <f t="shared" si="3"/>
        <v>4.9502481440811605</v>
      </c>
    </row>
    <row r="24" spans="1:39" x14ac:dyDescent="0.3">
      <c r="A24" s="1">
        <v>39800</v>
      </c>
      <c r="B24" s="1">
        <v>141.21</v>
      </c>
      <c r="C24">
        <f t="shared" si="0"/>
        <v>19940.264100000004</v>
      </c>
      <c r="D24">
        <f t="shared" si="1"/>
        <v>7.0816514411160677E-3</v>
      </c>
      <c r="E24">
        <f t="shared" si="2"/>
        <v>10.591622191272529</v>
      </c>
      <c r="F24">
        <f t="shared" si="3"/>
        <v>4.9502481440811605</v>
      </c>
    </row>
    <row r="25" spans="1:39" x14ac:dyDescent="0.3">
      <c r="A25" s="1">
        <v>44990</v>
      </c>
      <c r="B25" s="1">
        <v>141.21</v>
      </c>
      <c r="C25">
        <f t="shared" si="0"/>
        <v>19940.264100000004</v>
      </c>
      <c r="D25">
        <f t="shared" si="1"/>
        <v>7.0816514411160677E-3</v>
      </c>
      <c r="E25">
        <f t="shared" si="2"/>
        <v>10.714195521835219</v>
      </c>
      <c r="F25">
        <f t="shared" si="3"/>
        <v>4.9502481440811605</v>
      </c>
      <c r="T25" s="8" t="s">
        <v>33</v>
      </c>
      <c r="AE25" t="s">
        <v>35</v>
      </c>
    </row>
    <row r="26" spans="1:39" ht="15.6" x14ac:dyDescent="0.35">
      <c r="A26" s="1">
        <v>81990</v>
      </c>
      <c r="B26" s="1">
        <v>141.21</v>
      </c>
      <c r="C26">
        <f t="shared" si="0"/>
        <v>19940.264100000004</v>
      </c>
      <c r="D26">
        <f t="shared" si="1"/>
        <v>7.0816514411160677E-3</v>
      </c>
      <c r="E26">
        <f t="shared" si="2"/>
        <v>11.314352567590223</v>
      </c>
      <c r="F26">
        <f t="shared" si="3"/>
        <v>4.9502481440811605</v>
      </c>
      <c r="P26" t="s">
        <v>37</v>
      </c>
      <c r="Q26">
        <f>_xlfn.T.INV.2T(0.05, 48 - 1 -1)</f>
        <v>2.0128955989194299</v>
      </c>
      <c r="T26" t="s">
        <v>8</v>
      </c>
      <c r="AE26" t="s">
        <v>8</v>
      </c>
    </row>
    <row r="27" spans="1:39" ht="15" thickBot="1" x14ac:dyDescent="0.35">
      <c r="A27" s="1">
        <v>102499</v>
      </c>
      <c r="B27" s="1">
        <v>141.21</v>
      </c>
      <c r="C27">
        <f t="shared" si="0"/>
        <v>19940.264100000004</v>
      </c>
      <c r="D27">
        <f t="shared" si="1"/>
        <v>7.0816514411160677E-3</v>
      </c>
      <c r="E27">
        <f t="shared" si="2"/>
        <v>11.537608321415448</v>
      </c>
      <c r="F27">
        <f t="shared" si="3"/>
        <v>4.9502481440811605</v>
      </c>
      <c r="P27" t="s">
        <v>38</v>
      </c>
      <c r="Q27">
        <f>-827295 + 178613.6*LN(235)</f>
        <v>147861.22318913916</v>
      </c>
    </row>
    <row r="28" spans="1:39" x14ac:dyDescent="0.3">
      <c r="A28" s="1">
        <v>27990</v>
      </c>
      <c r="B28" s="1">
        <v>141.21</v>
      </c>
      <c r="C28">
        <f t="shared" si="0"/>
        <v>19940.264100000004</v>
      </c>
      <c r="D28">
        <f t="shared" si="1"/>
        <v>7.0816514411160677E-3</v>
      </c>
      <c r="E28">
        <f t="shared" si="2"/>
        <v>10.2396025825095</v>
      </c>
      <c r="F28">
        <f t="shared" si="3"/>
        <v>4.9502481440811605</v>
      </c>
      <c r="T28" s="6" t="s">
        <v>9</v>
      </c>
      <c r="U28" s="6"/>
      <c r="AE28" s="6" t="s">
        <v>9</v>
      </c>
      <c r="AF28" s="6"/>
    </row>
    <row r="29" spans="1:39" x14ac:dyDescent="0.3">
      <c r="A29" s="1">
        <v>94990</v>
      </c>
      <c r="B29" s="1">
        <v>141.21</v>
      </c>
      <c r="C29">
        <f t="shared" si="0"/>
        <v>19940.264100000004</v>
      </c>
      <c r="D29">
        <f t="shared" si="1"/>
        <v>7.0816514411160677E-3</v>
      </c>
      <c r="E29">
        <f t="shared" si="2"/>
        <v>11.461526901884229</v>
      </c>
      <c r="F29">
        <f t="shared" si="3"/>
        <v>4.9502481440811605</v>
      </c>
      <c r="T29" s="3" t="s">
        <v>10</v>
      </c>
      <c r="U29" s="3">
        <v>0.64883019116586571</v>
      </c>
      <c r="AE29" s="3" t="s">
        <v>10</v>
      </c>
      <c r="AF29" s="3">
        <v>0.58026677885859668</v>
      </c>
    </row>
    <row r="30" spans="1:39" x14ac:dyDescent="0.3">
      <c r="A30" s="1">
        <v>61990</v>
      </c>
      <c r="B30" s="1">
        <v>141.21</v>
      </c>
      <c r="C30">
        <f t="shared" si="0"/>
        <v>19940.264100000004</v>
      </c>
      <c r="D30">
        <f t="shared" si="1"/>
        <v>7.0816514411160677E-3</v>
      </c>
      <c r="E30">
        <f t="shared" si="2"/>
        <v>11.034728360695965</v>
      </c>
      <c r="F30">
        <f t="shared" si="3"/>
        <v>4.9502481440811605</v>
      </c>
      <c r="T30" s="3" t="s">
        <v>11</v>
      </c>
      <c r="U30" s="3">
        <v>0.42098061696833389</v>
      </c>
      <c r="AE30" s="3" t="s">
        <v>11</v>
      </c>
      <c r="AF30" s="3">
        <v>0.33670953464693149</v>
      </c>
    </row>
    <row r="31" spans="1:39" x14ac:dyDescent="0.3">
      <c r="A31" s="1">
        <v>99990</v>
      </c>
      <c r="B31" s="1">
        <v>141.21</v>
      </c>
      <c r="C31">
        <f t="shared" si="0"/>
        <v>19940.264100000004</v>
      </c>
      <c r="D31">
        <f t="shared" si="1"/>
        <v>7.0816514411160677E-3</v>
      </c>
      <c r="E31">
        <f t="shared" si="2"/>
        <v>11.512825459969894</v>
      </c>
      <c r="F31">
        <f t="shared" si="3"/>
        <v>4.9502481440811605</v>
      </c>
      <c r="T31" s="3" t="s">
        <v>12</v>
      </c>
      <c r="U31" s="3">
        <v>0.39524642216692651</v>
      </c>
      <c r="AE31" s="3" t="s">
        <v>12</v>
      </c>
      <c r="AF31" s="3">
        <v>0.32229017670447346</v>
      </c>
    </row>
    <row r="32" spans="1:39" x14ac:dyDescent="0.3">
      <c r="A32" s="1">
        <v>32990</v>
      </c>
      <c r="B32" s="1">
        <v>141.21</v>
      </c>
      <c r="C32">
        <f t="shared" si="0"/>
        <v>19940.264100000004</v>
      </c>
      <c r="D32">
        <f t="shared" si="1"/>
        <v>7.0816514411160677E-3</v>
      </c>
      <c r="E32">
        <f t="shared" si="2"/>
        <v>10.403959764222627</v>
      </c>
      <c r="F32">
        <f t="shared" si="3"/>
        <v>4.9502481440811605</v>
      </c>
      <c r="T32" s="3" t="s">
        <v>13</v>
      </c>
      <c r="U32" s="3">
        <v>30531.462342367835</v>
      </c>
      <c r="AE32" s="3" t="s">
        <v>13</v>
      </c>
      <c r="AF32" s="3">
        <v>0.42672165403232049</v>
      </c>
    </row>
    <row r="33" spans="1:39" ht="15" thickBot="1" x14ac:dyDescent="0.35">
      <c r="A33" s="1">
        <v>46890</v>
      </c>
      <c r="B33" s="1">
        <v>141.51</v>
      </c>
      <c r="C33">
        <f t="shared" si="0"/>
        <v>20025.080099999999</v>
      </c>
      <c r="D33">
        <f t="shared" si="1"/>
        <v>7.0666384001130669E-3</v>
      </c>
      <c r="E33">
        <f t="shared" si="2"/>
        <v>10.755559712083633</v>
      </c>
      <c r="F33">
        <f t="shared" si="3"/>
        <v>4.9523703859642803</v>
      </c>
      <c r="T33" s="4" t="s">
        <v>14</v>
      </c>
      <c r="U33" s="4">
        <v>48</v>
      </c>
      <c r="AE33" s="4" t="s">
        <v>14</v>
      </c>
      <c r="AF33" s="4">
        <v>48</v>
      </c>
    </row>
    <row r="34" spans="1:39" x14ac:dyDescent="0.3">
      <c r="A34" s="1">
        <v>112490</v>
      </c>
      <c r="B34" s="1">
        <v>141.51</v>
      </c>
      <c r="C34">
        <f t="shared" si="0"/>
        <v>20025.080099999999</v>
      </c>
      <c r="D34">
        <f t="shared" si="1"/>
        <v>7.0666384001130669E-3</v>
      </c>
      <c r="E34">
        <f t="shared" si="2"/>
        <v>11.630619607786871</v>
      </c>
      <c r="F34">
        <f t="shared" si="3"/>
        <v>4.9523703859642803</v>
      </c>
    </row>
    <row r="35" spans="1:39" ht="15" thickBot="1" x14ac:dyDescent="0.35">
      <c r="A35" s="1">
        <v>35799</v>
      </c>
      <c r="B35" s="1">
        <v>141.51</v>
      </c>
      <c r="C35">
        <f t="shared" si="0"/>
        <v>20025.080099999999</v>
      </c>
      <c r="D35">
        <f t="shared" si="1"/>
        <v>7.0666384001130669E-3</v>
      </c>
      <c r="E35">
        <f t="shared" si="2"/>
        <v>10.485675239037766</v>
      </c>
      <c r="F35">
        <f t="shared" si="3"/>
        <v>4.9523703859642803</v>
      </c>
      <c r="T35" t="s">
        <v>15</v>
      </c>
      <c r="AE35" t="s">
        <v>15</v>
      </c>
    </row>
    <row r="36" spans="1:39" x14ac:dyDescent="0.3">
      <c r="A36" s="1">
        <v>58200</v>
      </c>
      <c r="B36" s="1">
        <v>141.51</v>
      </c>
      <c r="C36">
        <f t="shared" si="0"/>
        <v>20025.080099999999</v>
      </c>
      <c r="D36">
        <f t="shared" si="1"/>
        <v>7.0666384001130669E-3</v>
      </c>
      <c r="E36">
        <f t="shared" si="2"/>
        <v>10.971640633719529</v>
      </c>
      <c r="F36">
        <f t="shared" si="3"/>
        <v>4.9523703859642803</v>
      </c>
      <c r="T36" s="5"/>
      <c r="U36" s="5" t="s">
        <v>20</v>
      </c>
      <c r="V36" s="5" t="s">
        <v>21</v>
      </c>
      <c r="W36" s="5" t="s">
        <v>22</v>
      </c>
      <c r="X36" s="5" t="s">
        <v>23</v>
      </c>
      <c r="Y36" s="5" t="s">
        <v>24</v>
      </c>
      <c r="AE36" s="5"/>
      <c r="AF36" s="5" t="s">
        <v>20</v>
      </c>
      <c r="AG36" s="5" t="s">
        <v>21</v>
      </c>
      <c r="AH36" s="5" t="s">
        <v>22</v>
      </c>
      <c r="AI36" s="5" t="s">
        <v>23</v>
      </c>
      <c r="AJ36" s="5" t="s">
        <v>24</v>
      </c>
    </row>
    <row r="37" spans="1:39" x14ac:dyDescent="0.3">
      <c r="A37" s="1">
        <v>67990</v>
      </c>
      <c r="B37" s="1">
        <v>146.86000000000001</v>
      </c>
      <c r="C37">
        <f t="shared" si="0"/>
        <v>21567.859600000003</v>
      </c>
      <c r="D37">
        <f t="shared" si="1"/>
        <v>6.8092060465749686E-3</v>
      </c>
      <c r="E37">
        <f t="shared" si="2"/>
        <v>11.127115914520505</v>
      </c>
      <c r="F37">
        <f t="shared" si="3"/>
        <v>4.9894797520234642</v>
      </c>
      <c r="T37" s="3" t="s">
        <v>16</v>
      </c>
      <c r="U37" s="3">
        <v>2</v>
      </c>
      <c r="V37" s="3">
        <v>30498376646.125023</v>
      </c>
      <c r="W37" s="3">
        <v>15249188323.062511</v>
      </c>
      <c r="X37" s="3">
        <v>16.358802760959545</v>
      </c>
      <c r="Y37" s="3">
        <v>4.5771463683866767E-6</v>
      </c>
      <c r="AE37" s="3" t="s">
        <v>16</v>
      </c>
      <c r="AF37" s="3">
        <v>1</v>
      </c>
      <c r="AG37" s="3">
        <v>4.2520548215360794</v>
      </c>
      <c r="AH37" s="3">
        <v>4.2520548215360794</v>
      </c>
      <c r="AI37" s="3">
        <v>23.35121549729238</v>
      </c>
      <c r="AJ37" s="3">
        <v>1.5396372523060928E-5</v>
      </c>
    </row>
    <row r="38" spans="1:39" x14ac:dyDescent="0.3">
      <c r="A38" s="1">
        <v>73999</v>
      </c>
      <c r="B38" s="1">
        <v>157.35</v>
      </c>
      <c r="C38">
        <f t="shared" si="0"/>
        <v>24759.022499999999</v>
      </c>
      <c r="D38">
        <f t="shared" si="1"/>
        <v>6.3552589768033048E-3</v>
      </c>
      <c r="E38">
        <f t="shared" si="2"/>
        <v>11.211806858581484</v>
      </c>
      <c r="F38">
        <f t="shared" si="3"/>
        <v>5.0584726235104158</v>
      </c>
      <c r="T38" s="3" t="s">
        <v>17</v>
      </c>
      <c r="U38" s="3">
        <v>45</v>
      </c>
      <c r="V38" s="3">
        <v>41947658674.354134</v>
      </c>
      <c r="W38" s="3">
        <v>932170192.76342523</v>
      </c>
      <c r="X38" s="3"/>
      <c r="Y38" s="3"/>
      <c r="AE38" s="3" t="s">
        <v>17</v>
      </c>
      <c r="AF38" s="3">
        <v>46</v>
      </c>
      <c r="AG38" s="3">
        <v>8.3762030209236524</v>
      </c>
      <c r="AH38" s="3">
        <v>0.18209137002007941</v>
      </c>
      <c r="AI38" s="3"/>
      <c r="AJ38" s="3"/>
    </row>
    <row r="39" spans="1:39" ht="15" thickBot="1" x14ac:dyDescent="0.35">
      <c r="A39" s="1">
        <v>69990</v>
      </c>
      <c r="B39" s="1">
        <v>157.35</v>
      </c>
      <c r="C39">
        <f t="shared" si="0"/>
        <v>24759.022499999999</v>
      </c>
      <c r="D39">
        <f t="shared" si="1"/>
        <v>6.3552589768033048E-3</v>
      </c>
      <c r="E39">
        <f t="shared" si="2"/>
        <v>11.156107653683586</v>
      </c>
      <c r="F39">
        <f t="shared" si="3"/>
        <v>5.0584726235104158</v>
      </c>
      <c r="T39" s="4" t="s">
        <v>18</v>
      </c>
      <c r="U39" s="4">
        <v>47</v>
      </c>
      <c r="V39" s="4">
        <v>72446035320.479156</v>
      </c>
      <c r="W39" s="4"/>
      <c r="X39" s="4"/>
      <c r="Y39" s="4"/>
      <c r="AE39" s="4" t="s">
        <v>18</v>
      </c>
      <c r="AF39" s="4">
        <v>47</v>
      </c>
      <c r="AG39" s="4">
        <v>12.628257842459732</v>
      </c>
      <c r="AH39" s="4"/>
      <c r="AI39" s="4"/>
      <c r="AJ39" s="4"/>
    </row>
    <row r="40" spans="1:39" ht="15" thickBot="1" x14ac:dyDescent="0.35">
      <c r="A40" s="1">
        <v>75990</v>
      </c>
      <c r="B40" s="1">
        <v>161.72999999999999</v>
      </c>
      <c r="C40">
        <f t="shared" si="0"/>
        <v>26156.592899999996</v>
      </c>
      <c r="D40">
        <f t="shared" si="1"/>
        <v>6.1831447474185374E-3</v>
      </c>
      <c r="E40">
        <f t="shared" si="2"/>
        <v>11.238357031663831</v>
      </c>
      <c r="F40">
        <f t="shared" si="3"/>
        <v>5.0859282781316866</v>
      </c>
    </row>
    <row r="41" spans="1:39" x14ac:dyDescent="0.3">
      <c r="A41" s="1">
        <v>79990</v>
      </c>
      <c r="B41" s="1">
        <v>165.63</v>
      </c>
      <c r="C41">
        <f t="shared" si="0"/>
        <v>27433.296899999998</v>
      </c>
      <c r="D41">
        <f t="shared" si="1"/>
        <v>6.0375535832880517E-3</v>
      </c>
      <c r="E41">
        <f t="shared" si="2"/>
        <v>11.289656905842868</v>
      </c>
      <c r="F41">
        <f t="shared" si="3"/>
        <v>5.1097563849640633</v>
      </c>
      <c r="T41" s="5"/>
      <c r="U41" s="5" t="s">
        <v>25</v>
      </c>
      <c r="V41" s="5" t="s">
        <v>13</v>
      </c>
      <c r="W41" s="5" t="s">
        <v>26</v>
      </c>
      <c r="X41" s="5" t="s">
        <v>27</v>
      </c>
      <c r="Y41" s="5" t="s">
        <v>28</v>
      </c>
      <c r="Z41" s="5" t="s">
        <v>29</v>
      </c>
      <c r="AA41" s="5" t="s">
        <v>30</v>
      </c>
      <c r="AB41" s="5" t="s">
        <v>31</v>
      </c>
      <c r="AE41" s="5"/>
      <c r="AF41" s="5" t="s">
        <v>25</v>
      </c>
      <c r="AG41" s="5" t="s">
        <v>13</v>
      </c>
      <c r="AH41" s="5" t="s">
        <v>26</v>
      </c>
      <c r="AI41" s="5" t="s">
        <v>27</v>
      </c>
      <c r="AJ41" s="5" t="s">
        <v>28</v>
      </c>
      <c r="AK41" s="5" t="s">
        <v>29</v>
      </c>
      <c r="AL41" s="5" t="s">
        <v>30</v>
      </c>
      <c r="AM41" s="5" t="s">
        <v>31</v>
      </c>
    </row>
    <row r="42" spans="1:39" x14ac:dyDescent="0.3">
      <c r="A42" s="1">
        <v>84990</v>
      </c>
      <c r="B42" s="1">
        <v>165.63</v>
      </c>
      <c r="C42">
        <f t="shared" si="0"/>
        <v>27433.296899999998</v>
      </c>
      <c r="D42">
        <f t="shared" si="1"/>
        <v>6.0375535832880517E-3</v>
      </c>
      <c r="E42">
        <f t="shared" si="2"/>
        <v>11.350288881492672</v>
      </c>
      <c r="F42">
        <f t="shared" si="3"/>
        <v>5.1097563849640633</v>
      </c>
      <c r="T42" s="3" t="s">
        <v>19</v>
      </c>
      <c r="U42" s="3">
        <v>110337.97208830446</v>
      </c>
      <c r="V42" s="3">
        <v>248182.23363642278</v>
      </c>
      <c r="W42" s="3">
        <v>0.44458449128935335</v>
      </c>
      <c r="X42" s="3">
        <v>0.6587510381315913</v>
      </c>
      <c r="Y42" s="3">
        <v>-389526.70573883248</v>
      </c>
      <c r="Z42" s="3">
        <v>610202.64991544141</v>
      </c>
      <c r="AA42" s="3">
        <v>-389526.70573883248</v>
      </c>
      <c r="AB42" s="3">
        <v>610202.64991544141</v>
      </c>
      <c r="AE42" s="3" t="s">
        <v>19</v>
      </c>
      <c r="AF42" s="3">
        <v>9.1229910274010528</v>
      </c>
      <c r="AG42" s="3">
        <v>0.39595783747672303</v>
      </c>
      <c r="AH42" s="3">
        <v>23.040309254990721</v>
      </c>
      <c r="AI42" s="3">
        <v>6.673411399244721E-27</v>
      </c>
      <c r="AJ42" s="3">
        <v>8.3259692389865023</v>
      </c>
      <c r="AK42" s="3">
        <v>9.9200128158156033</v>
      </c>
      <c r="AL42" s="3">
        <v>8.3259692389865023</v>
      </c>
      <c r="AM42" s="3">
        <v>9.9200128158156033</v>
      </c>
    </row>
    <row r="43" spans="1:39" ht="15" thickBot="1" x14ac:dyDescent="0.35">
      <c r="A43" s="1">
        <v>93990</v>
      </c>
      <c r="B43" s="1">
        <v>168.97</v>
      </c>
      <c r="C43">
        <f t="shared" si="0"/>
        <v>28550.8609</v>
      </c>
      <c r="D43">
        <f t="shared" si="1"/>
        <v>5.9182103331952415E-3</v>
      </c>
      <c r="E43">
        <f t="shared" si="2"/>
        <v>11.450943672614347</v>
      </c>
      <c r="F43">
        <f t="shared" si="3"/>
        <v>5.1297211843725581</v>
      </c>
      <c r="T43" s="3" t="s">
        <v>3</v>
      </c>
      <c r="U43" s="3">
        <v>-1296.8277336542501</v>
      </c>
      <c r="V43" s="3">
        <v>2888.8449541710661</v>
      </c>
      <c r="W43" s="3">
        <v>-0.44890873488444649</v>
      </c>
      <c r="X43" s="3">
        <v>0.65565195329988613</v>
      </c>
      <c r="Y43" s="3">
        <v>-7115.2601458015251</v>
      </c>
      <c r="Z43" s="3">
        <v>4521.6046784930259</v>
      </c>
      <c r="AA43" s="3">
        <v>-7115.2601458015251</v>
      </c>
      <c r="AB43" s="3">
        <v>4521.6046784930259</v>
      </c>
      <c r="AE43" s="4" t="s">
        <v>3</v>
      </c>
      <c r="AF43" s="4">
        <v>1.2357367369400466E-2</v>
      </c>
      <c r="AG43" s="4">
        <v>2.5572383692064036E-3</v>
      </c>
      <c r="AH43" s="4">
        <v>4.832309540715741</v>
      </c>
      <c r="AI43" s="4">
        <v>1.5396372523060928E-5</v>
      </c>
      <c r="AJ43" s="4">
        <v>7.2099135106369963E-3</v>
      </c>
      <c r="AK43" s="4">
        <v>1.7504821228163936E-2</v>
      </c>
      <c r="AL43" s="4">
        <v>7.2099135106369963E-3</v>
      </c>
      <c r="AM43" s="4">
        <v>1.7504821228163936E-2</v>
      </c>
    </row>
    <row r="44" spans="1:39" ht="15" thickBot="1" x14ac:dyDescent="0.35">
      <c r="A44" s="1">
        <v>99900</v>
      </c>
      <c r="B44" s="1">
        <v>168.97</v>
      </c>
      <c r="C44">
        <f t="shared" si="0"/>
        <v>28550.8609</v>
      </c>
      <c r="D44">
        <f t="shared" si="1"/>
        <v>5.9182103331952415E-3</v>
      </c>
      <c r="E44">
        <f t="shared" si="2"/>
        <v>11.511924964636645</v>
      </c>
      <c r="F44">
        <f t="shared" si="3"/>
        <v>5.1297211843725581</v>
      </c>
      <c r="T44" s="4" t="s">
        <v>4</v>
      </c>
      <c r="U44" s="4">
        <v>6.5615181907309479</v>
      </c>
      <c r="V44" s="4">
        <v>8.1089795650418424</v>
      </c>
      <c r="W44" s="4">
        <v>0.80916694117937271</v>
      </c>
      <c r="X44" s="4">
        <v>0.4226769768869888</v>
      </c>
      <c r="Y44" s="4">
        <v>-9.7708050315853541</v>
      </c>
      <c r="Z44" s="4">
        <v>22.893841413047248</v>
      </c>
      <c r="AA44" s="4">
        <v>-9.7708050315853541</v>
      </c>
      <c r="AB44" s="4">
        <v>22.893841413047248</v>
      </c>
    </row>
    <row r="45" spans="1:39" x14ac:dyDescent="0.3">
      <c r="A45" s="1">
        <v>96999</v>
      </c>
      <c r="B45" s="1">
        <v>187.51</v>
      </c>
      <c r="C45">
        <f t="shared" si="0"/>
        <v>35160.000099999997</v>
      </c>
      <c r="D45">
        <f t="shared" si="1"/>
        <v>5.3330489040584505E-3</v>
      </c>
      <c r="E45">
        <f t="shared" si="2"/>
        <v>11.482455948154028</v>
      </c>
      <c r="F45">
        <f t="shared" si="3"/>
        <v>5.2338321773216272</v>
      </c>
    </row>
    <row r="46" spans="1:39" x14ac:dyDescent="0.3">
      <c r="A46" s="1">
        <v>99990</v>
      </c>
      <c r="B46" s="1">
        <v>188.68</v>
      </c>
      <c r="C46">
        <f t="shared" si="0"/>
        <v>35600.142400000004</v>
      </c>
      <c r="D46">
        <f t="shared" si="1"/>
        <v>5.2999788000847991E-3</v>
      </c>
      <c r="E46">
        <f t="shared" si="2"/>
        <v>11.512825459969894</v>
      </c>
      <c r="F46">
        <f t="shared" si="3"/>
        <v>5.240052458416061</v>
      </c>
    </row>
    <row r="47" spans="1:39" x14ac:dyDescent="0.3">
      <c r="A47" s="1">
        <v>94990</v>
      </c>
      <c r="B47" s="1">
        <v>212.26</v>
      </c>
      <c r="C47">
        <f t="shared" si="0"/>
        <v>45054.307599999993</v>
      </c>
      <c r="D47">
        <f t="shared" si="1"/>
        <v>4.7112032413078302E-3</v>
      </c>
      <c r="E47">
        <f t="shared" si="2"/>
        <v>11.461526901884229</v>
      </c>
      <c r="F47">
        <f t="shared" si="3"/>
        <v>5.3578119383336764</v>
      </c>
    </row>
    <row r="48" spans="1:39" x14ac:dyDescent="0.3">
      <c r="A48" s="1">
        <v>102990</v>
      </c>
      <c r="B48" s="1">
        <v>224.51</v>
      </c>
      <c r="C48">
        <f t="shared" si="0"/>
        <v>50404.740099999995</v>
      </c>
      <c r="D48">
        <f t="shared" si="1"/>
        <v>4.454144581533117E-3</v>
      </c>
      <c r="E48">
        <f t="shared" si="2"/>
        <v>11.542387175119847</v>
      </c>
      <c r="F48">
        <f t="shared" si="3"/>
        <v>5.4139202496201237</v>
      </c>
    </row>
    <row r="49" spans="1:31" x14ac:dyDescent="0.3">
      <c r="A49" s="1">
        <v>114900</v>
      </c>
      <c r="B49" s="1">
        <v>224.51</v>
      </c>
      <c r="C49">
        <f t="shared" si="0"/>
        <v>50404.740099999995</v>
      </c>
      <c r="D49">
        <f t="shared" si="1"/>
        <v>4.454144581533117E-3</v>
      </c>
      <c r="E49">
        <f t="shared" si="2"/>
        <v>11.651817463836847</v>
      </c>
      <c r="F49">
        <f t="shared" si="3"/>
        <v>5.4139202496201237</v>
      </c>
      <c r="Z49" t="s">
        <v>36</v>
      </c>
    </row>
    <row r="50" spans="1:31" x14ac:dyDescent="0.3">
      <c r="A50" s="1">
        <v>250130</v>
      </c>
      <c r="B50" s="1">
        <v>226.98</v>
      </c>
      <c r="C50">
        <f t="shared" si="0"/>
        <v>51519.920399999995</v>
      </c>
      <c r="D50">
        <f t="shared" si="1"/>
        <v>4.4056745087672922E-3</v>
      </c>
      <c r="E50">
        <f>LN(A50)</f>
        <v>12.429736061691235</v>
      </c>
      <c r="F50">
        <f t="shared" si="3"/>
        <v>5.4248619078729927</v>
      </c>
      <c r="Z50" t="s">
        <v>8</v>
      </c>
    </row>
    <row r="51" spans="1:31" ht="15" thickBot="1" x14ac:dyDescent="0.35"/>
    <row r="52" spans="1:31" x14ac:dyDescent="0.3">
      <c r="Z52" s="6" t="s">
        <v>9</v>
      </c>
      <c r="AA52" s="6"/>
    </row>
    <row r="53" spans="1:31" x14ac:dyDescent="0.3">
      <c r="Z53" s="3" t="s">
        <v>10</v>
      </c>
      <c r="AA53" s="3">
        <v>0.62619619740961086</v>
      </c>
    </row>
    <row r="54" spans="1:31" x14ac:dyDescent="0.3">
      <c r="Z54" s="3" t="s">
        <v>11</v>
      </c>
      <c r="AA54" s="3">
        <v>0.39212167765025635</v>
      </c>
    </row>
    <row r="55" spans="1:31" x14ac:dyDescent="0.3">
      <c r="Z55" s="3" t="s">
        <v>12</v>
      </c>
      <c r="AA55" s="3">
        <v>0.37890693151221838</v>
      </c>
    </row>
    <row r="56" spans="1:31" x14ac:dyDescent="0.3">
      <c r="Z56" s="3" t="s">
        <v>13</v>
      </c>
      <c r="AA56" s="3">
        <v>30941.169426307399</v>
      </c>
    </row>
    <row r="57" spans="1:31" ht="15" thickBot="1" x14ac:dyDescent="0.35">
      <c r="Z57" s="4" t="s">
        <v>14</v>
      </c>
      <c r="AA57" s="4">
        <v>48</v>
      </c>
    </row>
    <row r="59" spans="1:31" ht="15" thickBot="1" x14ac:dyDescent="0.35">
      <c r="Z59" t="s">
        <v>15</v>
      </c>
    </row>
    <row r="60" spans="1:31" x14ac:dyDescent="0.3">
      <c r="Z60" s="5"/>
      <c r="AA60" s="5" t="s">
        <v>20</v>
      </c>
      <c r="AB60" s="5" t="s">
        <v>21</v>
      </c>
      <c r="AC60" s="5" t="s">
        <v>22</v>
      </c>
      <c r="AD60" s="5" t="s">
        <v>23</v>
      </c>
      <c r="AE60" s="5" t="s">
        <v>24</v>
      </c>
    </row>
    <row r="61" spans="1:31" x14ac:dyDescent="0.3">
      <c r="Z61" s="3" t="s">
        <v>16</v>
      </c>
      <c r="AA61" s="3">
        <v>1</v>
      </c>
      <c r="AB61" s="3">
        <v>28407660908.976013</v>
      </c>
      <c r="AC61" s="3">
        <v>28407660908.976013</v>
      </c>
      <c r="AD61" s="3">
        <v>29.673039009168406</v>
      </c>
      <c r="AE61" s="3">
        <v>1.9328324369689869E-6</v>
      </c>
    </row>
    <row r="62" spans="1:31" x14ac:dyDescent="0.3">
      <c r="Z62" s="3" t="s">
        <v>17</v>
      </c>
      <c r="AA62" s="3">
        <v>46</v>
      </c>
      <c r="AB62" s="3">
        <v>44038374411.503143</v>
      </c>
      <c r="AC62" s="3">
        <v>957355965.46745968</v>
      </c>
      <c r="AD62" s="3"/>
      <c r="AE62" s="3"/>
    </row>
    <row r="63" spans="1:31" ht="15" thickBot="1" x14ac:dyDescent="0.35">
      <c r="Z63" s="4" t="s">
        <v>18</v>
      </c>
      <c r="AA63" s="4">
        <v>47</v>
      </c>
      <c r="AB63" s="4">
        <v>72446035320.479156</v>
      </c>
      <c r="AC63" s="4"/>
      <c r="AD63" s="4"/>
      <c r="AE63" s="4"/>
    </row>
    <row r="64" spans="1:31" ht="15" thickBot="1" x14ac:dyDescent="0.35"/>
    <row r="65" spans="26:34" x14ac:dyDescent="0.3">
      <c r="Z65" s="5"/>
      <c r="AA65" s="5" t="s">
        <v>25</v>
      </c>
      <c r="AB65" s="5" t="s">
        <v>13</v>
      </c>
      <c r="AC65" s="5" t="s">
        <v>26</v>
      </c>
      <c r="AD65" s="5" t="s">
        <v>27</v>
      </c>
      <c r="AE65" s="5" t="s">
        <v>28</v>
      </c>
      <c r="AF65" s="5" t="s">
        <v>29</v>
      </c>
      <c r="AG65" s="5" t="s">
        <v>30</v>
      </c>
      <c r="AH65" s="5" t="s">
        <v>31</v>
      </c>
    </row>
    <row r="66" spans="26:34" x14ac:dyDescent="0.3">
      <c r="Z66" s="3" t="s">
        <v>19</v>
      </c>
      <c r="AA66" s="3">
        <v>269442.56920529658</v>
      </c>
      <c r="AB66" s="3">
        <v>37012.951355406432</v>
      </c>
      <c r="AC66" s="3">
        <v>7.2796834442638811</v>
      </c>
      <c r="AD66" s="3">
        <v>3.4737544416651281E-9</v>
      </c>
      <c r="AE66" s="3">
        <v>194939.36231898001</v>
      </c>
      <c r="AF66" s="3">
        <v>343945.77609161311</v>
      </c>
      <c r="AG66" s="3">
        <v>194939.36231898001</v>
      </c>
      <c r="AH66" s="3">
        <v>343945.77609161311</v>
      </c>
    </row>
    <row r="67" spans="26:34" ht="15" thickBot="1" x14ac:dyDescent="0.35">
      <c r="Z67" s="4" t="s">
        <v>5</v>
      </c>
      <c r="AA67" s="4">
        <v>-30031932.922092047</v>
      </c>
      <c r="AB67" s="4">
        <v>5513181.263011761</v>
      </c>
      <c r="AC67" s="4">
        <v>-5.4472964862552136</v>
      </c>
      <c r="AD67" s="4">
        <v>1.9328324369689937E-6</v>
      </c>
      <c r="AE67" s="4">
        <v>-41129391.222453482</v>
      </c>
      <c r="AF67" s="4">
        <v>-18934474.621730611</v>
      </c>
      <c r="AG67" s="4">
        <v>-41129391.222453482</v>
      </c>
      <c r="AH67" s="4">
        <v>-18934474.621730611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User</cp:lastModifiedBy>
  <dcterms:created xsi:type="dcterms:W3CDTF">2015-06-05T18:19:34Z</dcterms:created>
  <dcterms:modified xsi:type="dcterms:W3CDTF">2024-12-11T16:19:18Z</dcterms:modified>
</cp:coreProperties>
</file>